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Budget" sheetId="2" state="visible" r:id="rId4"/>
    <sheet name="Monthly 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<sst xmlns="http://schemas.openxmlformats.org/spreadsheetml/2006/main" count="405" uniqueCount="108">
  <si>
    <t xml:space="preserve">Personal Expense Tracker - Transactions</t>
  </si>
  <si>
    <t xml:space="preserve">Log every expense here (Date, Category, Description, Amount). Summary and Dashboard sheets update automatically.</t>
  </si>
  <si>
    <t xml:space="preserve">Date</t>
  </si>
  <si>
    <t xml:space="preserve">Category</t>
  </si>
  <si>
    <t xml:space="preserve">Description</t>
  </si>
  <si>
    <t xml:space="preserve">Amount</t>
  </si>
  <si>
    <t xml:space="preserve">Payment Method</t>
  </si>
  <si>
    <t xml:space="preserve">2026-06-08</t>
  </si>
  <si>
    <t xml:space="preserve">Savings</t>
  </si>
  <si>
    <t xml:space="preserve">Transfer to savings</t>
  </si>
  <si>
    <t xml:space="preserve">Cash</t>
  </si>
  <si>
    <t xml:space="preserve">2026-06-21</t>
  </si>
  <si>
    <t xml:space="preserve">Groceries</t>
  </si>
  <si>
    <t xml:space="preserve">Online grocery order</t>
  </si>
  <si>
    <t xml:space="preserve">2026-06-09</t>
  </si>
  <si>
    <t xml:space="preserve">2026-06-18</t>
  </si>
  <si>
    <t xml:space="preserve">Mutual fund SIP</t>
  </si>
  <si>
    <t xml:space="preserve">Credit Card</t>
  </si>
  <si>
    <t xml:space="preserve">Utilities</t>
  </si>
  <si>
    <t xml:space="preserve">Mobile recharge</t>
  </si>
  <si>
    <t xml:space="preserve">UPI</t>
  </si>
  <si>
    <t xml:space="preserve">2026-06-06</t>
  </si>
  <si>
    <t xml:space="preserve">Rent</t>
  </si>
  <si>
    <t xml:space="preserve">Monthly rent</t>
  </si>
  <si>
    <t xml:space="preserve">Debit Card</t>
  </si>
  <si>
    <t xml:space="preserve">2026-06-16</t>
  </si>
  <si>
    <t xml:space="preserve">Healthcare</t>
  </si>
  <si>
    <t xml:space="preserve">Gym membership</t>
  </si>
  <si>
    <t xml:space="preserve">2026-06-24</t>
  </si>
  <si>
    <t xml:space="preserve">Shopping</t>
  </si>
  <si>
    <t xml:space="preserve">Clothing</t>
  </si>
  <si>
    <t xml:space="preserve">2026-06-02</t>
  </si>
  <si>
    <t xml:space="preserve">2026-06-22</t>
  </si>
  <si>
    <t xml:space="preserve">2026-06-17</t>
  </si>
  <si>
    <t xml:space="preserve">2026-06-19</t>
  </si>
  <si>
    <t xml:space="preserve">Transport</t>
  </si>
  <si>
    <t xml:space="preserve">Metro card top-up</t>
  </si>
  <si>
    <t xml:space="preserve">2026-06-28</t>
  </si>
  <si>
    <t xml:space="preserve">Dining Out</t>
  </si>
  <si>
    <t xml:space="preserve">Food delivery</t>
  </si>
  <si>
    <t xml:space="preserve">2026-06-23</t>
  </si>
  <si>
    <t xml:space="preserve">Entertainment</t>
  </si>
  <si>
    <t xml:space="preserve">Concert</t>
  </si>
  <si>
    <t xml:space="preserve">Coffee shop</t>
  </si>
  <si>
    <t xml:space="preserve">2026-06-14</t>
  </si>
  <si>
    <t xml:space="preserve">Electricity bill</t>
  </si>
  <si>
    <t xml:space="preserve">2026-06-25</t>
  </si>
  <si>
    <t xml:space="preserve">Pharmacy</t>
  </si>
  <si>
    <t xml:space="preserve">2026-06-13</t>
  </si>
  <si>
    <t xml:space="preserve">Restaurant dinner</t>
  </si>
  <si>
    <t xml:space="preserve">2026-06-20</t>
  </si>
  <si>
    <t xml:space="preserve">2026-06-05</t>
  </si>
  <si>
    <t xml:space="preserve">Doctor visit</t>
  </si>
  <si>
    <t xml:space="preserve">2026-06-26</t>
  </si>
  <si>
    <t xml:space="preserve">2026-06-12</t>
  </si>
  <si>
    <t xml:space="preserve">2026-06-01</t>
  </si>
  <si>
    <t xml:space="preserve">Electronics</t>
  </si>
  <si>
    <t xml:space="preserve">Movie tickets</t>
  </si>
  <si>
    <t xml:space="preserve">2026-06-04</t>
  </si>
  <si>
    <t xml:space="preserve">Streaming subscription</t>
  </si>
  <si>
    <t xml:space="preserve">2026-06-10</t>
  </si>
  <si>
    <t xml:space="preserve">2026-07-02</t>
  </si>
  <si>
    <t xml:space="preserve">2026-07-16</t>
  </si>
  <si>
    <t xml:space="preserve">Home goods</t>
  </si>
  <si>
    <t xml:space="preserve">2026-07-18</t>
  </si>
  <si>
    <t xml:space="preserve">2026-07-04</t>
  </si>
  <si>
    <t xml:space="preserve">Fuel</t>
  </si>
  <si>
    <t xml:space="preserve">2026-07-14</t>
  </si>
  <si>
    <t xml:space="preserve">2026-07-06</t>
  </si>
  <si>
    <t xml:space="preserve">2026-07-17</t>
  </si>
  <si>
    <t xml:space="preserve">2026-07-11</t>
  </si>
  <si>
    <t xml:space="preserve">Internet bill</t>
  </si>
  <si>
    <t xml:space="preserve">2026-07-12</t>
  </si>
  <si>
    <t xml:space="preserve">Cab ride</t>
  </si>
  <si>
    <t xml:space="preserve">2026-07-09</t>
  </si>
  <si>
    <t xml:space="preserve">2026-07-28</t>
  </si>
  <si>
    <t xml:space="preserve">2026-07-13</t>
  </si>
  <si>
    <t xml:space="preserve">2026-07-05</t>
  </si>
  <si>
    <t xml:space="preserve">2026-07-26</t>
  </si>
  <si>
    <t xml:space="preserve">2026-07-21</t>
  </si>
  <si>
    <t xml:space="preserve">2026-07-23</t>
  </si>
  <si>
    <t xml:space="preserve">2026-07-07</t>
  </si>
  <si>
    <t xml:space="preserve">2026-07-01</t>
  </si>
  <si>
    <t xml:space="preserve">2026-07-15</t>
  </si>
  <si>
    <t xml:space="preserve">2026-07-22</t>
  </si>
  <si>
    <t xml:space="preserve">2026-07-25</t>
  </si>
  <si>
    <t xml:space="preserve">2026-07-19</t>
  </si>
  <si>
    <t xml:space="preserve">2026-07-27</t>
  </si>
  <si>
    <t xml:space="preserve">2026-07-08</t>
  </si>
  <si>
    <t xml:space="preserve">Water bill</t>
  </si>
  <si>
    <t xml:space="preserve">Monthly Budget by Category</t>
  </si>
  <si>
    <t xml:space="preserve">Yellow cells are editable budget limits per category.</t>
  </si>
  <si>
    <t xml:space="preserve">Monthly Budget</t>
  </si>
  <si>
    <t xml:space="preserve">Category Report vs Budget</t>
  </si>
  <si>
    <t xml:space="preserve">Actual spend pulled live from Transactions; compares against Budget sheet.</t>
  </si>
  <si>
    <t xml:space="preserve">Budget</t>
  </si>
  <si>
    <t xml:space="preserve">Actual Spend</t>
  </si>
  <si>
    <t xml:space="preserve">Remaining</t>
  </si>
  <si>
    <t xml:space="preserve">% Used</t>
  </si>
  <si>
    <t xml:space="preserve">Status</t>
  </si>
  <si>
    <t xml:space="preserve">TOTAL</t>
  </si>
  <si>
    <t xml:space="preserve">Expense Dashboard</t>
  </si>
  <si>
    <t xml:space="preserve">Month</t>
  </si>
  <si>
    <t xml:space="preserve">Total Spend</t>
  </si>
  <si>
    <t xml:space="preserve">June 2026</t>
  </si>
  <si>
    <t xml:space="preserve">July 2026</t>
  </si>
  <si>
    <t xml:space="preserve">Categories Over Budget</t>
  </si>
  <si>
    <t xml:space="preserve">Total Spend (All)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</si>
</sst>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666666"/>
      <rgbColor rgb="FF800080"/>
      <rgbColor rgb="FF4F81BD"/>
      <rgbColor rgb="FFBFBFBF"/>
      <rgbColor rgb="FF878787"/>
      <rgbColor rgb="FF93A9CE"/>
      <rgbColor rgb="FFAB4744"/>
      <rgbColor rgb="FFFFF2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B8CD97"/>
      <rgbColor rgb="FFD09493"/>
      <rgbColor rgb="FFCC99FF"/>
      <rgbColor rgb="FFFFC7CE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'Monthly Summary'!C4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'Monthly Summary'!$A$5:$A$13</c:f>
              <c:strCache>
                <c:ptCount val="9"/>
                <c:pt idx="0">
                  <c:v>Rent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</c:v>
                </c:pt>
                <c:pt idx="4">
                  <c:v>Dining Out</c:v>
                </c:pt>
                <c:pt idx="5">
                  <c:v>Entertainment</c:v>
                </c:pt>
                <c:pt idx="6">
                  <c:v>Healthcare</c:v>
                </c:pt>
                <c:pt idx="7">
                  <c:v>Shopping</c:v>
                </c:pt>
                <c:pt idx="8">
                  <c:v>Savings</c:v>
                </c:pt>
              </c:strCache>
            </c:strRef>
          </c:cat>
          <c:val>
            <c:numRef>
              <c:f>'Monthly Summary'!$C$5:$C$13</c:f>
              <c:numCache>
                <c:formatCode>#,##0</c:formatCode>
                <c:ptCount val="9"/>
                <c:pt idx="0">
                  <c:v>180000</c:v>
                </c:pt>
                <c:pt idx="1">
                  <c:v>13868</c:v>
                </c:pt>
                <c:pt idx="2">
                  <c:v>15213</c:v>
                </c:pt>
                <c:pt idx="3">
                  <c:v>4352</c:v>
                </c:pt>
                <c:pt idx="4">
                  <c:v>8828</c:v>
                </c:pt>
                <c:pt idx="5">
                  <c:v>12155</c:v>
                </c:pt>
                <c:pt idx="6">
                  <c:v>22440</c:v>
                </c:pt>
                <c:pt idx="7">
                  <c:v>32905</c:v>
                </c:pt>
                <c:pt idx="8">
                  <c:v>81696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Summary'!$A$5:$A$13</c:f>
              <c:strCache>
                <c:ptCount val="9"/>
                <c:pt idx="0">
                  <c:v>Rent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</c:v>
                </c:pt>
                <c:pt idx="4">
                  <c:v>Dining Out</c:v>
                </c:pt>
                <c:pt idx="5">
                  <c:v>Entertainment</c:v>
                </c:pt>
                <c:pt idx="6">
                  <c:v>Healthcare</c:v>
                </c:pt>
                <c:pt idx="7">
                  <c:v>Shopping</c:v>
                </c:pt>
                <c:pt idx="8">
                  <c:v>Savings</c:v>
                </c:pt>
              </c:strCache>
            </c:strRef>
          </c:cat>
          <c:val>
            <c:numRef>
              <c:f>'Monthly Summary'!$B$5:$B$13</c:f>
              <c:numCache>
                <c:formatCode>#,##0</c:formatCode>
                <c:ptCount val="9"/>
                <c:pt idx="0">
                  <c:v>18000</c:v>
                </c:pt>
                <c:pt idx="1">
                  <c:v>8000</c:v>
                </c:pt>
                <c:pt idx="2">
                  <c:v>4000</c:v>
                </c:pt>
                <c:pt idx="3">
                  <c:v>3000</c:v>
                </c:pt>
                <c:pt idx="4">
                  <c:v>3000</c:v>
                </c:pt>
                <c:pt idx="5">
                  <c:v>2500</c:v>
                </c:pt>
                <c:pt idx="6">
                  <c:v>3000</c:v>
                </c:pt>
                <c:pt idx="7">
                  <c:v>4000</c:v>
                </c:pt>
                <c:pt idx="8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'Monthly Summary'!C4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Summary'!$A$5:$A$13</c:f>
              <c:strCache>
                <c:ptCount val="9"/>
                <c:pt idx="0">
                  <c:v>Rent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</c:v>
                </c:pt>
                <c:pt idx="4">
                  <c:v>Dining Out</c:v>
                </c:pt>
                <c:pt idx="5">
                  <c:v>Entertainment</c:v>
                </c:pt>
                <c:pt idx="6">
                  <c:v>Healthcare</c:v>
                </c:pt>
                <c:pt idx="7">
                  <c:v>Shopping</c:v>
                </c:pt>
                <c:pt idx="8">
                  <c:v>Savings</c:v>
                </c:pt>
              </c:strCache>
            </c:strRef>
          </c:cat>
          <c:val>
            <c:numRef>
              <c:f>'Monthly Summary'!$C$5:$C$13</c:f>
              <c:numCache>
                <c:formatCode>#,##0</c:formatCode>
                <c:ptCount val="9"/>
                <c:pt idx="0">
                  <c:v>180000</c:v>
                </c:pt>
                <c:pt idx="1">
                  <c:v>13868</c:v>
                </c:pt>
                <c:pt idx="2">
                  <c:v>15213</c:v>
                </c:pt>
                <c:pt idx="3">
                  <c:v>4352</c:v>
                </c:pt>
                <c:pt idx="4">
                  <c:v>8828</c:v>
                </c:pt>
                <c:pt idx="5">
                  <c:v>12155</c:v>
                </c:pt>
                <c:pt idx="6">
                  <c:v>22440</c:v>
                </c:pt>
                <c:pt idx="7">
                  <c:v>32905</c:v>
                </c:pt>
                <c:pt idx="8">
                  <c:v>81696</c:v>
                </c:pt>
              </c:numCache>
            </c:numRef>
          </c:val>
        </c:ser>
        <c:gapWidth val="150"/>
        <c:overlap val="0"/>
        <c:axId val="87942244"/>
        <c:axId val="60732530"/>
      </c:barChart>
      <c:catAx>
        <c:axId val="87942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32530"/>
        <c:crosses val="autoZero"/>
        <c:auto val="1"/>
        <c:lblAlgn val="ctr"/>
        <c:lblOffset val="100"/>
        <c:noMultiLvlLbl val="0"/>
      </c:catAx>
      <c:valAx>
        <c:axId val="60732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42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Spend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Dashboard!$A$5:$A$6</c:f>
              <c:strCache>
                <c:ptCount val="2"/>
                <c:pt idx="0">
                  <c:v>June 2026</c:v>
                </c:pt>
                <c:pt idx="1">
                  <c:v>July 2026</c:v>
                </c:pt>
              </c:strCache>
            </c:strRef>
          </c:cat>
          <c:val>
            <c:numRef>
              <c:f>Dashboard!$B$5:$B$6</c:f>
              <c:numCache>
                <c:formatCode>#,##0</c:formatCode>
                <c:ptCount val="2"/>
                <c:pt idx="0">
                  <c:v>164324</c:v>
                </c:pt>
                <c:pt idx="1">
                  <c:v>207133</c:v>
                </c:pt>
              </c:numCache>
            </c:numRef>
          </c:val>
        </c:ser>
        <c:gapWidth val="150"/>
        <c:overlap val="0"/>
        <c:axId val="62323570"/>
        <c:axId val="91400849"/>
      </c:barChart>
      <c:catAx>
        <c:axId val="62323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00849"/>
        <c:crosses val="autoZero"/>
        <c:auto val="1"/>
        <c:lblAlgn val="ctr"/>
        <c:lblOffset val="100"/>
        <c:noMultiLvlLbl val="0"/>
      </c:catAx>
      <c:valAx>
        <c:axId val="91400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23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14</xdr:col>
      <xdr:colOff>398880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179760" y="571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130680</xdr:rowOff>
    </xdr:from>
    <xdr:to>
      <xdr:col>16</xdr:col>
      <xdr:colOff>255960</xdr:colOff>
      <xdr:row>36</xdr:row>
      <xdr:rowOff>131760</xdr:rowOff>
    </xdr:to>
    <xdr:graphicFrame>
      <xdr:nvGraphicFramePr>
        <xdr:cNvPr id="1" name="Chart 2"/>
        <xdr:cNvGraphicFramePr/>
      </xdr:nvGraphicFramePr>
      <xdr:xfrm>
        <a:off x="617976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11</xdr:col>
      <xdr:colOff>147600</xdr:colOff>
      <xdr:row>17</xdr:row>
      <xdr:rowOff>153000</xdr:rowOff>
    </xdr:to>
    <xdr:graphicFrame>
      <xdr:nvGraphicFramePr>
        <xdr:cNvPr id="2" name="Chart 1"/>
        <xdr:cNvGraphicFramePr/>
      </xdr:nvGraphicFramePr>
      <xdr:xfrm>
        <a:off x="34308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6" t="n">
        <v>5030</v>
      </c>
      <c r="E5" s="5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5" t="s">
        <v>13</v>
      </c>
      <c r="D6" s="6" t="n">
        <v>553</v>
      </c>
      <c r="E6" s="5" t="s">
        <v>10</v>
      </c>
    </row>
    <row r="7" customFormat="false" ht="15" hidden="false" customHeight="false" outlineLevel="0" collapsed="false">
      <c r="A7" s="4" t="s">
        <v>14</v>
      </c>
      <c r="B7" s="5" t="s">
        <v>8</v>
      </c>
      <c r="C7" s="5" t="s">
        <v>9</v>
      </c>
      <c r="D7" s="6" t="n">
        <v>3570</v>
      </c>
      <c r="E7" s="5" t="s">
        <v>10</v>
      </c>
    </row>
    <row r="8" customFormat="false" ht="15" hidden="false" customHeight="false" outlineLevel="0" collapsed="false">
      <c r="A8" s="4" t="s">
        <v>15</v>
      </c>
      <c r="B8" s="5" t="s">
        <v>8</v>
      </c>
      <c r="C8" s="5" t="s">
        <v>16</v>
      </c>
      <c r="D8" s="6" t="n">
        <v>5253</v>
      </c>
      <c r="E8" s="5" t="s">
        <v>17</v>
      </c>
    </row>
    <row r="9" customFormat="false" ht="15" hidden="false" customHeight="false" outlineLevel="0" collapsed="false">
      <c r="A9" s="4" t="s">
        <v>7</v>
      </c>
      <c r="B9" s="5" t="s">
        <v>18</v>
      </c>
      <c r="C9" s="5" t="s">
        <v>19</v>
      </c>
      <c r="D9" s="6" t="n">
        <v>362</v>
      </c>
      <c r="E9" s="5" t="s">
        <v>20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5" t="s">
        <v>23</v>
      </c>
      <c r="D10" s="6" t="n">
        <v>18000</v>
      </c>
      <c r="E10" s="5" t="s">
        <v>24</v>
      </c>
    </row>
    <row r="11" customFormat="false" ht="15" hidden="false" customHeight="false" outlineLevel="0" collapsed="false">
      <c r="A11" s="4" t="s">
        <v>25</v>
      </c>
      <c r="B11" s="5" t="s">
        <v>26</v>
      </c>
      <c r="C11" s="5" t="s">
        <v>27</v>
      </c>
      <c r="D11" s="6" t="n">
        <v>1948</v>
      </c>
      <c r="E11" s="5" t="s">
        <v>10</v>
      </c>
    </row>
    <row r="12" customFormat="false" ht="15" hidden="false" customHeight="false" outlineLevel="0" collapsed="false">
      <c r="A12" s="4" t="s">
        <v>28</v>
      </c>
      <c r="B12" s="5" t="s">
        <v>29</v>
      </c>
      <c r="C12" s="5" t="s">
        <v>30</v>
      </c>
      <c r="D12" s="6" t="n">
        <v>3494</v>
      </c>
      <c r="E12" s="5" t="s">
        <v>20</v>
      </c>
    </row>
    <row r="13" customFormat="false" ht="15" hidden="false" customHeight="false" outlineLevel="0" collapsed="false">
      <c r="A13" s="4" t="s">
        <v>31</v>
      </c>
      <c r="B13" s="5" t="s">
        <v>18</v>
      </c>
      <c r="C13" s="5" t="s">
        <v>19</v>
      </c>
      <c r="D13" s="6" t="n">
        <v>1188</v>
      </c>
      <c r="E13" s="5" t="s">
        <v>24</v>
      </c>
    </row>
    <row r="14" customFormat="false" ht="15" hidden="false" customHeight="false" outlineLevel="0" collapsed="false">
      <c r="A14" s="4" t="s">
        <v>32</v>
      </c>
      <c r="B14" s="5" t="s">
        <v>26</v>
      </c>
      <c r="C14" s="5" t="s">
        <v>27</v>
      </c>
      <c r="D14" s="6" t="n">
        <v>1433</v>
      </c>
      <c r="E14" s="5" t="s">
        <v>10</v>
      </c>
    </row>
    <row r="15" customFormat="false" ht="15" hidden="false" customHeight="false" outlineLevel="0" collapsed="false">
      <c r="A15" s="4" t="s">
        <v>33</v>
      </c>
      <c r="B15" s="5" t="s">
        <v>26</v>
      </c>
      <c r="C15" s="5" t="s">
        <v>27</v>
      </c>
      <c r="D15" s="6" t="n">
        <v>1637</v>
      </c>
      <c r="E15" s="5" t="s">
        <v>10</v>
      </c>
    </row>
    <row r="16" customFormat="false" ht="15" hidden="false" customHeight="false" outlineLevel="0" collapsed="false">
      <c r="A16" s="4" t="s">
        <v>34</v>
      </c>
      <c r="B16" s="5" t="s">
        <v>35</v>
      </c>
      <c r="C16" s="5" t="s">
        <v>36</v>
      </c>
      <c r="D16" s="6" t="n">
        <v>1496</v>
      </c>
      <c r="E16" s="5" t="s">
        <v>20</v>
      </c>
    </row>
    <row r="17" customFormat="false" ht="15" hidden="false" customHeight="false" outlineLevel="0" collapsed="false">
      <c r="A17" s="4" t="s">
        <v>37</v>
      </c>
      <c r="B17" s="5" t="s">
        <v>38</v>
      </c>
      <c r="C17" s="5" t="s">
        <v>39</v>
      </c>
      <c r="D17" s="6" t="n">
        <v>1574</v>
      </c>
      <c r="E17" s="5" t="s">
        <v>17</v>
      </c>
    </row>
    <row r="18" customFormat="false" ht="15" hidden="false" customHeight="false" outlineLevel="0" collapsed="false">
      <c r="A18" s="4" t="s">
        <v>40</v>
      </c>
      <c r="B18" s="5" t="s">
        <v>41</v>
      </c>
      <c r="C18" s="5" t="s">
        <v>42</v>
      </c>
      <c r="D18" s="6" t="n">
        <v>726</v>
      </c>
      <c r="E18" s="5" t="s">
        <v>17</v>
      </c>
    </row>
    <row r="19" customFormat="false" ht="15" hidden="false" customHeight="false" outlineLevel="0" collapsed="false">
      <c r="A19" s="4" t="s">
        <v>11</v>
      </c>
      <c r="B19" s="5" t="s">
        <v>38</v>
      </c>
      <c r="C19" s="5" t="s">
        <v>43</v>
      </c>
      <c r="D19" s="6" t="n">
        <v>454</v>
      </c>
      <c r="E19" s="5" t="s">
        <v>20</v>
      </c>
    </row>
    <row r="20" customFormat="false" ht="15" hidden="false" customHeight="false" outlineLevel="0" collapsed="false">
      <c r="A20" s="4" t="s">
        <v>25</v>
      </c>
      <c r="B20" s="5" t="s">
        <v>29</v>
      </c>
      <c r="C20" s="5" t="s">
        <v>30</v>
      </c>
      <c r="D20" s="6" t="n">
        <v>3318</v>
      </c>
      <c r="E20" s="5" t="s">
        <v>20</v>
      </c>
    </row>
    <row r="21" customFormat="false" ht="15" hidden="false" customHeight="false" outlineLevel="0" collapsed="false">
      <c r="A21" s="4" t="s">
        <v>44</v>
      </c>
      <c r="B21" s="5" t="s">
        <v>18</v>
      </c>
      <c r="C21" s="5" t="s">
        <v>45</v>
      </c>
      <c r="D21" s="6" t="n">
        <v>1503</v>
      </c>
      <c r="E21" s="5" t="s">
        <v>10</v>
      </c>
    </row>
    <row r="22" customFormat="false" ht="15" hidden="false" customHeight="false" outlineLevel="0" collapsed="false">
      <c r="A22" s="4" t="s">
        <v>46</v>
      </c>
      <c r="B22" s="5" t="s">
        <v>26</v>
      </c>
      <c r="C22" s="5" t="s">
        <v>47</v>
      </c>
      <c r="D22" s="6" t="n">
        <v>381</v>
      </c>
      <c r="E22" s="5" t="s">
        <v>20</v>
      </c>
    </row>
    <row r="23" customFormat="false" ht="15" hidden="false" customHeight="false" outlineLevel="0" collapsed="false">
      <c r="A23" s="4" t="s">
        <v>48</v>
      </c>
      <c r="B23" s="5" t="s">
        <v>41</v>
      </c>
      <c r="C23" s="5" t="s">
        <v>42</v>
      </c>
      <c r="D23" s="6" t="n">
        <v>1443</v>
      </c>
      <c r="E23" s="5" t="s">
        <v>17</v>
      </c>
    </row>
    <row r="24" customFormat="false" ht="15" hidden="false" customHeight="false" outlineLevel="0" collapsed="false">
      <c r="A24" s="4" t="s">
        <v>31</v>
      </c>
      <c r="B24" s="5" t="s">
        <v>38</v>
      </c>
      <c r="C24" s="5" t="s">
        <v>49</v>
      </c>
      <c r="D24" s="6" t="n">
        <v>357</v>
      </c>
      <c r="E24" s="5" t="s">
        <v>20</v>
      </c>
    </row>
    <row r="25" customFormat="false" ht="15" hidden="false" customHeight="false" outlineLevel="0" collapsed="false">
      <c r="A25" s="4" t="s">
        <v>50</v>
      </c>
      <c r="B25" s="5" t="s">
        <v>8</v>
      </c>
      <c r="C25" s="5" t="s">
        <v>9</v>
      </c>
      <c r="D25" s="6" t="n">
        <v>9773</v>
      </c>
      <c r="E25" s="5" t="s">
        <v>17</v>
      </c>
    </row>
    <row r="26" customFormat="false" ht="15" hidden="false" customHeight="false" outlineLevel="0" collapsed="false">
      <c r="A26" s="4" t="s">
        <v>44</v>
      </c>
      <c r="B26" s="5" t="s">
        <v>38</v>
      </c>
      <c r="C26" s="5" t="s">
        <v>39</v>
      </c>
      <c r="D26" s="6" t="n">
        <v>739</v>
      </c>
      <c r="E26" s="5" t="s">
        <v>17</v>
      </c>
    </row>
    <row r="27" customFormat="false" ht="15" hidden="false" customHeight="false" outlineLevel="0" collapsed="false">
      <c r="A27" s="4" t="s">
        <v>40</v>
      </c>
      <c r="B27" s="5" t="s">
        <v>22</v>
      </c>
      <c r="C27" s="5" t="s">
        <v>23</v>
      </c>
      <c r="D27" s="6" t="n">
        <v>18000</v>
      </c>
      <c r="E27" s="5" t="s">
        <v>24</v>
      </c>
    </row>
    <row r="28" customFormat="false" ht="15" hidden="false" customHeight="false" outlineLevel="0" collapsed="false">
      <c r="A28" s="4" t="s">
        <v>51</v>
      </c>
      <c r="B28" s="5" t="s">
        <v>26</v>
      </c>
      <c r="C28" s="5" t="s">
        <v>52</v>
      </c>
      <c r="D28" s="6" t="n">
        <v>2085</v>
      </c>
      <c r="E28" s="5" t="s">
        <v>10</v>
      </c>
    </row>
    <row r="29" customFormat="false" ht="15" hidden="false" customHeight="false" outlineLevel="0" collapsed="false">
      <c r="A29" s="4" t="s">
        <v>11</v>
      </c>
      <c r="B29" s="5" t="s">
        <v>8</v>
      </c>
      <c r="C29" s="5" t="s">
        <v>9</v>
      </c>
      <c r="D29" s="6" t="n">
        <v>7080</v>
      </c>
      <c r="E29" s="5" t="s">
        <v>24</v>
      </c>
    </row>
    <row r="30" customFormat="false" ht="15" hidden="false" customHeight="false" outlineLevel="0" collapsed="false">
      <c r="A30" s="4" t="s">
        <v>44</v>
      </c>
      <c r="B30" s="5" t="s">
        <v>35</v>
      </c>
      <c r="C30" s="5" t="s">
        <v>36</v>
      </c>
      <c r="D30" s="6" t="n">
        <v>995</v>
      </c>
      <c r="E30" s="5" t="s">
        <v>24</v>
      </c>
    </row>
    <row r="31" customFormat="false" ht="15" hidden="false" customHeight="false" outlineLevel="0" collapsed="false">
      <c r="A31" s="4" t="s">
        <v>33</v>
      </c>
      <c r="B31" s="5" t="s">
        <v>38</v>
      </c>
      <c r="C31" s="5" t="s">
        <v>39</v>
      </c>
      <c r="D31" s="6" t="n">
        <v>894</v>
      </c>
      <c r="E31" s="5" t="s">
        <v>20</v>
      </c>
    </row>
    <row r="32" customFormat="false" ht="15" hidden="false" customHeight="false" outlineLevel="0" collapsed="false">
      <c r="A32" s="4" t="s">
        <v>53</v>
      </c>
      <c r="B32" s="5" t="s">
        <v>26</v>
      </c>
      <c r="C32" s="5" t="s">
        <v>27</v>
      </c>
      <c r="D32" s="6" t="n">
        <v>1489</v>
      </c>
      <c r="E32" s="5" t="s">
        <v>20</v>
      </c>
    </row>
    <row r="33" customFormat="false" ht="15" hidden="false" customHeight="false" outlineLevel="0" collapsed="false">
      <c r="A33" s="4" t="s">
        <v>48</v>
      </c>
      <c r="B33" s="5" t="s">
        <v>18</v>
      </c>
      <c r="C33" s="5" t="s">
        <v>45</v>
      </c>
      <c r="D33" s="6" t="n">
        <v>1661</v>
      </c>
      <c r="E33" s="5" t="s">
        <v>10</v>
      </c>
    </row>
    <row r="34" customFormat="false" ht="15" hidden="false" customHeight="false" outlineLevel="0" collapsed="false">
      <c r="A34" s="4" t="s">
        <v>54</v>
      </c>
      <c r="B34" s="5" t="s">
        <v>41</v>
      </c>
      <c r="C34" s="5" t="s">
        <v>42</v>
      </c>
      <c r="D34" s="6" t="n">
        <v>1442</v>
      </c>
      <c r="E34" s="5" t="s">
        <v>10</v>
      </c>
    </row>
    <row r="35" customFormat="false" ht="15" hidden="false" customHeight="false" outlineLevel="0" collapsed="false">
      <c r="A35" s="4" t="s">
        <v>55</v>
      </c>
      <c r="B35" s="5" t="s">
        <v>22</v>
      </c>
      <c r="C35" s="5" t="s">
        <v>23</v>
      </c>
      <c r="D35" s="6" t="n">
        <v>18000</v>
      </c>
      <c r="E35" s="5" t="s">
        <v>24</v>
      </c>
    </row>
    <row r="36" customFormat="false" ht="15" hidden="false" customHeight="false" outlineLevel="0" collapsed="false">
      <c r="A36" s="4" t="s">
        <v>11</v>
      </c>
      <c r="B36" s="5" t="s">
        <v>29</v>
      </c>
      <c r="C36" s="5" t="s">
        <v>56</v>
      </c>
      <c r="D36" s="6" t="n">
        <v>5355</v>
      </c>
      <c r="E36" s="5" t="s">
        <v>24</v>
      </c>
    </row>
    <row r="37" customFormat="false" ht="15" hidden="false" customHeight="false" outlineLevel="0" collapsed="false">
      <c r="A37" s="4" t="s">
        <v>21</v>
      </c>
      <c r="B37" s="5" t="s">
        <v>41</v>
      </c>
      <c r="C37" s="5" t="s">
        <v>57</v>
      </c>
      <c r="D37" s="6" t="n">
        <v>1580</v>
      </c>
      <c r="E37" s="5" t="s">
        <v>24</v>
      </c>
    </row>
    <row r="38" customFormat="false" ht="15" hidden="false" customHeight="false" outlineLevel="0" collapsed="false">
      <c r="A38" s="4" t="s">
        <v>37</v>
      </c>
      <c r="B38" s="5" t="s">
        <v>38</v>
      </c>
      <c r="C38" s="5" t="s">
        <v>43</v>
      </c>
      <c r="D38" s="6" t="n">
        <v>1812</v>
      </c>
      <c r="E38" s="5" t="s">
        <v>10</v>
      </c>
    </row>
    <row r="39" customFormat="false" ht="15" hidden="false" customHeight="false" outlineLevel="0" collapsed="false">
      <c r="A39" s="4" t="s">
        <v>58</v>
      </c>
      <c r="B39" s="5" t="s">
        <v>22</v>
      </c>
      <c r="C39" s="5" t="s">
        <v>23</v>
      </c>
      <c r="D39" s="6" t="n">
        <v>18000</v>
      </c>
      <c r="E39" s="5" t="s">
        <v>17</v>
      </c>
    </row>
    <row r="40" customFormat="false" ht="15" hidden="false" customHeight="false" outlineLevel="0" collapsed="false">
      <c r="A40" s="4" t="s">
        <v>11</v>
      </c>
      <c r="B40" s="5" t="s">
        <v>38</v>
      </c>
      <c r="C40" s="5" t="s">
        <v>49</v>
      </c>
      <c r="D40" s="6" t="n">
        <v>871</v>
      </c>
      <c r="E40" s="5" t="s">
        <v>17</v>
      </c>
    </row>
    <row r="41" customFormat="false" ht="15" hidden="false" customHeight="false" outlineLevel="0" collapsed="false">
      <c r="A41" s="4" t="s">
        <v>32</v>
      </c>
      <c r="B41" s="5" t="s">
        <v>26</v>
      </c>
      <c r="C41" s="5" t="s">
        <v>27</v>
      </c>
      <c r="D41" s="6" t="n">
        <v>597</v>
      </c>
      <c r="E41" s="5" t="s">
        <v>20</v>
      </c>
    </row>
    <row r="42" customFormat="false" ht="15" hidden="false" customHeight="false" outlineLevel="0" collapsed="false">
      <c r="A42" s="4" t="s">
        <v>50</v>
      </c>
      <c r="B42" s="5" t="s">
        <v>41</v>
      </c>
      <c r="C42" s="5" t="s">
        <v>59</v>
      </c>
      <c r="D42" s="6" t="n">
        <v>1219</v>
      </c>
      <c r="E42" s="5" t="s">
        <v>10</v>
      </c>
    </row>
    <row r="43" customFormat="false" ht="15" hidden="false" customHeight="false" outlineLevel="0" collapsed="false">
      <c r="A43" s="4" t="s">
        <v>53</v>
      </c>
      <c r="B43" s="5" t="s">
        <v>18</v>
      </c>
      <c r="C43" s="5" t="s">
        <v>45</v>
      </c>
      <c r="D43" s="6" t="n">
        <v>1679</v>
      </c>
      <c r="E43" s="5" t="s">
        <v>17</v>
      </c>
    </row>
    <row r="44" customFormat="false" ht="15" hidden="false" customHeight="false" outlineLevel="0" collapsed="false">
      <c r="A44" s="4" t="s">
        <v>34</v>
      </c>
      <c r="B44" s="5" t="s">
        <v>29</v>
      </c>
      <c r="C44" s="5" t="s">
        <v>56</v>
      </c>
      <c r="D44" s="6" t="n">
        <v>2343</v>
      </c>
      <c r="E44" s="5" t="s">
        <v>20</v>
      </c>
    </row>
    <row r="45" customFormat="false" ht="15" hidden="false" customHeight="false" outlineLevel="0" collapsed="false">
      <c r="A45" s="4" t="s">
        <v>31</v>
      </c>
      <c r="B45" s="5" t="s">
        <v>8</v>
      </c>
      <c r="C45" s="5" t="s">
        <v>9</v>
      </c>
      <c r="D45" s="6" t="n">
        <v>4581</v>
      </c>
      <c r="E45" s="5" t="s">
        <v>17</v>
      </c>
    </row>
    <row r="46" customFormat="false" ht="15" hidden="false" customHeight="false" outlineLevel="0" collapsed="false">
      <c r="A46" s="4" t="s">
        <v>37</v>
      </c>
      <c r="B46" s="5" t="s">
        <v>38</v>
      </c>
      <c r="C46" s="5" t="s">
        <v>43</v>
      </c>
      <c r="D46" s="6" t="n">
        <v>1853</v>
      </c>
      <c r="E46" s="5" t="s">
        <v>20</v>
      </c>
    </row>
    <row r="47" customFormat="false" ht="15" hidden="false" customHeight="false" outlineLevel="0" collapsed="false">
      <c r="A47" s="4" t="s">
        <v>53</v>
      </c>
      <c r="B47" s="5" t="s">
        <v>41</v>
      </c>
      <c r="C47" s="5" t="s">
        <v>42</v>
      </c>
      <c r="D47" s="6" t="n">
        <v>831</v>
      </c>
      <c r="E47" s="5" t="s">
        <v>10</v>
      </c>
    </row>
    <row r="48" customFormat="false" ht="15" hidden="false" customHeight="false" outlineLevel="0" collapsed="false">
      <c r="A48" s="4" t="s">
        <v>60</v>
      </c>
      <c r="B48" s="5" t="s">
        <v>8</v>
      </c>
      <c r="C48" s="5" t="s">
        <v>16</v>
      </c>
      <c r="D48" s="6" t="n">
        <v>5806</v>
      </c>
      <c r="E48" s="5" t="s">
        <v>24</v>
      </c>
    </row>
    <row r="49" customFormat="false" ht="15" hidden="false" customHeight="false" outlineLevel="0" collapsed="false">
      <c r="A49" s="4" t="s">
        <v>11</v>
      </c>
      <c r="B49" s="5" t="s">
        <v>26</v>
      </c>
      <c r="C49" s="5" t="s">
        <v>52</v>
      </c>
      <c r="D49" s="6" t="n">
        <v>1919</v>
      </c>
      <c r="E49" s="5" t="s">
        <v>10</v>
      </c>
    </row>
    <row r="50" customFormat="false" ht="15" hidden="false" customHeight="false" outlineLevel="0" collapsed="false">
      <c r="A50" s="4" t="s">
        <v>61</v>
      </c>
      <c r="B50" s="5" t="s">
        <v>26</v>
      </c>
      <c r="C50" s="5" t="s">
        <v>47</v>
      </c>
      <c r="D50" s="6" t="n">
        <v>1017</v>
      </c>
      <c r="E50" s="5" t="s">
        <v>20</v>
      </c>
    </row>
    <row r="51" customFormat="false" ht="15" hidden="false" customHeight="false" outlineLevel="0" collapsed="false">
      <c r="A51" s="4" t="s">
        <v>62</v>
      </c>
      <c r="B51" s="5" t="s">
        <v>8</v>
      </c>
      <c r="C51" s="5" t="s">
        <v>16</v>
      </c>
      <c r="D51" s="6" t="n">
        <v>6578</v>
      </c>
      <c r="E51" s="5" t="s">
        <v>17</v>
      </c>
    </row>
    <row r="52" customFormat="false" ht="15" hidden="false" customHeight="false" outlineLevel="0" collapsed="false">
      <c r="A52" s="4" t="s">
        <v>61</v>
      </c>
      <c r="B52" s="5" t="s">
        <v>29</v>
      </c>
      <c r="C52" s="5" t="s">
        <v>63</v>
      </c>
      <c r="D52" s="6" t="n">
        <v>4751</v>
      </c>
      <c r="E52" s="5" t="s">
        <v>24</v>
      </c>
    </row>
    <row r="53" customFormat="false" ht="15" hidden="false" customHeight="false" outlineLevel="0" collapsed="false">
      <c r="A53" s="4" t="s">
        <v>64</v>
      </c>
      <c r="B53" s="5" t="s">
        <v>41</v>
      </c>
      <c r="C53" s="5" t="s">
        <v>57</v>
      </c>
      <c r="D53" s="6" t="n">
        <v>578</v>
      </c>
      <c r="E53" s="5" t="s">
        <v>24</v>
      </c>
    </row>
    <row r="54" customFormat="false" ht="15" hidden="false" customHeight="false" outlineLevel="0" collapsed="false">
      <c r="A54" s="4" t="s">
        <v>65</v>
      </c>
      <c r="B54" s="5" t="s">
        <v>35</v>
      </c>
      <c r="C54" s="5" t="s">
        <v>66</v>
      </c>
      <c r="D54" s="6" t="n">
        <v>171</v>
      </c>
      <c r="E54" s="5" t="s">
        <v>17</v>
      </c>
    </row>
    <row r="55" customFormat="false" ht="15" hidden="false" customHeight="false" outlineLevel="0" collapsed="false">
      <c r="A55" s="4" t="s">
        <v>67</v>
      </c>
      <c r="B55" s="5" t="s">
        <v>22</v>
      </c>
      <c r="C55" s="5" t="s">
        <v>23</v>
      </c>
      <c r="D55" s="6" t="n">
        <v>18000</v>
      </c>
      <c r="E55" s="5" t="s">
        <v>20</v>
      </c>
    </row>
    <row r="56" customFormat="false" ht="15" hidden="false" customHeight="false" outlineLevel="0" collapsed="false">
      <c r="A56" s="4" t="s">
        <v>68</v>
      </c>
      <c r="B56" s="5" t="s">
        <v>8</v>
      </c>
      <c r="C56" s="5" t="s">
        <v>16</v>
      </c>
      <c r="D56" s="6" t="n">
        <v>3958</v>
      </c>
      <c r="E56" s="5" t="s">
        <v>20</v>
      </c>
    </row>
    <row r="57" customFormat="false" ht="15" hidden="false" customHeight="false" outlineLevel="0" collapsed="false">
      <c r="A57" s="4" t="s">
        <v>69</v>
      </c>
      <c r="B57" s="5" t="s">
        <v>8</v>
      </c>
      <c r="C57" s="5" t="s">
        <v>16</v>
      </c>
      <c r="D57" s="6" t="n">
        <v>2436</v>
      </c>
      <c r="E57" s="5" t="s">
        <v>20</v>
      </c>
    </row>
    <row r="58" customFormat="false" ht="15" hidden="false" customHeight="false" outlineLevel="0" collapsed="false">
      <c r="A58" s="4" t="s">
        <v>70</v>
      </c>
      <c r="B58" s="5" t="s">
        <v>18</v>
      </c>
      <c r="C58" s="5" t="s">
        <v>71</v>
      </c>
      <c r="D58" s="6" t="n">
        <v>2254</v>
      </c>
      <c r="E58" s="5" t="s">
        <v>20</v>
      </c>
    </row>
    <row r="59" customFormat="false" ht="15" hidden="false" customHeight="false" outlineLevel="0" collapsed="false">
      <c r="A59" s="4" t="s">
        <v>72</v>
      </c>
      <c r="B59" s="5" t="s">
        <v>35</v>
      </c>
      <c r="C59" s="5" t="s">
        <v>73</v>
      </c>
      <c r="D59" s="6" t="n">
        <v>350</v>
      </c>
      <c r="E59" s="5" t="s">
        <v>20</v>
      </c>
    </row>
    <row r="60" customFormat="false" ht="15" hidden="false" customHeight="false" outlineLevel="0" collapsed="false">
      <c r="A60" s="4" t="s">
        <v>68</v>
      </c>
      <c r="B60" s="5" t="s">
        <v>35</v>
      </c>
      <c r="C60" s="5" t="s">
        <v>36</v>
      </c>
      <c r="D60" s="6" t="n">
        <v>363</v>
      </c>
      <c r="E60" s="5" t="s">
        <v>20</v>
      </c>
    </row>
    <row r="61" customFormat="false" ht="15" hidden="false" customHeight="false" outlineLevel="0" collapsed="false">
      <c r="A61" s="4" t="s">
        <v>62</v>
      </c>
      <c r="B61" s="5" t="s">
        <v>26</v>
      </c>
      <c r="C61" s="5" t="s">
        <v>47</v>
      </c>
      <c r="D61" s="6" t="n">
        <v>1311</v>
      </c>
      <c r="E61" s="5" t="s">
        <v>17</v>
      </c>
    </row>
    <row r="62" customFormat="false" ht="15" hidden="false" customHeight="false" outlineLevel="0" collapsed="false">
      <c r="A62" s="4" t="s">
        <v>74</v>
      </c>
      <c r="B62" s="5" t="s">
        <v>8</v>
      </c>
      <c r="C62" s="5" t="s">
        <v>16</v>
      </c>
      <c r="D62" s="6" t="n">
        <v>2417</v>
      </c>
      <c r="E62" s="5" t="s">
        <v>10</v>
      </c>
    </row>
    <row r="63" customFormat="false" ht="15" hidden="false" customHeight="false" outlineLevel="0" collapsed="false">
      <c r="A63" s="4" t="s">
        <v>70</v>
      </c>
      <c r="B63" s="5" t="s">
        <v>22</v>
      </c>
      <c r="C63" s="5" t="s">
        <v>23</v>
      </c>
      <c r="D63" s="6" t="n">
        <v>18000</v>
      </c>
      <c r="E63" s="5" t="s">
        <v>20</v>
      </c>
    </row>
    <row r="64" customFormat="false" ht="15" hidden="false" customHeight="false" outlineLevel="0" collapsed="false">
      <c r="A64" s="4" t="s">
        <v>65</v>
      </c>
      <c r="B64" s="5" t="s">
        <v>22</v>
      </c>
      <c r="C64" s="5" t="s">
        <v>23</v>
      </c>
      <c r="D64" s="6" t="n">
        <v>18000</v>
      </c>
      <c r="E64" s="5" t="s">
        <v>20</v>
      </c>
    </row>
    <row r="65" customFormat="false" ht="15" hidden="false" customHeight="false" outlineLevel="0" collapsed="false">
      <c r="A65" s="4" t="s">
        <v>75</v>
      </c>
      <c r="B65" s="5" t="s">
        <v>12</v>
      </c>
      <c r="C65" s="5" t="s">
        <v>13</v>
      </c>
      <c r="D65" s="6" t="n">
        <v>2556</v>
      </c>
      <c r="E65" s="5" t="s">
        <v>10</v>
      </c>
    </row>
    <row r="66" customFormat="false" ht="15" hidden="false" customHeight="false" outlineLevel="0" collapsed="false">
      <c r="A66" s="4" t="s">
        <v>70</v>
      </c>
      <c r="B66" s="5" t="s">
        <v>18</v>
      </c>
      <c r="C66" s="5" t="s">
        <v>71</v>
      </c>
      <c r="D66" s="6" t="n">
        <v>593</v>
      </c>
      <c r="E66" s="5" t="s">
        <v>24</v>
      </c>
    </row>
    <row r="67" customFormat="false" ht="15" hidden="false" customHeight="false" outlineLevel="0" collapsed="false">
      <c r="A67" s="4" t="s">
        <v>76</v>
      </c>
      <c r="B67" s="5" t="s">
        <v>26</v>
      </c>
      <c r="C67" s="5" t="s">
        <v>27</v>
      </c>
      <c r="D67" s="6" t="n">
        <v>1445</v>
      </c>
      <c r="E67" s="5" t="s">
        <v>24</v>
      </c>
    </row>
    <row r="68" customFormat="false" ht="15" hidden="false" customHeight="false" outlineLevel="0" collapsed="false">
      <c r="A68" s="4" t="s">
        <v>74</v>
      </c>
      <c r="B68" s="5" t="s">
        <v>35</v>
      </c>
      <c r="C68" s="5" t="s">
        <v>36</v>
      </c>
      <c r="D68" s="6" t="n">
        <v>977</v>
      </c>
      <c r="E68" s="5" t="s">
        <v>20</v>
      </c>
    </row>
    <row r="69" customFormat="false" ht="15" hidden="false" customHeight="false" outlineLevel="0" collapsed="false">
      <c r="A69" s="4" t="s">
        <v>77</v>
      </c>
      <c r="B69" s="5" t="s">
        <v>8</v>
      </c>
      <c r="C69" s="5" t="s">
        <v>9</v>
      </c>
      <c r="D69" s="6" t="n">
        <v>7865</v>
      </c>
      <c r="E69" s="5" t="s">
        <v>10</v>
      </c>
    </row>
    <row r="70" customFormat="false" ht="15" hidden="false" customHeight="false" outlineLevel="0" collapsed="false">
      <c r="A70" s="4" t="s">
        <v>78</v>
      </c>
      <c r="B70" s="5" t="s">
        <v>12</v>
      </c>
      <c r="C70" s="5" t="s">
        <v>13</v>
      </c>
      <c r="D70" s="6" t="n">
        <v>1231</v>
      </c>
      <c r="E70" s="5" t="s">
        <v>20</v>
      </c>
    </row>
    <row r="71" customFormat="false" ht="15" hidden="false" customHeight="false" outlineLevel="0" collapsed="false">
      <c r="A71" s="4" t="s">
        <v>72</v>
      </c>
      <c r="B71" s="5" t="s">
        <v>29</v>
      </c>
      <c r="C71" s="5" t="s">
        <v>63</v>
      </c>
      <c r="D71" s="6" t="n">
        <v>5827</v>
      </c>
      <c r="E71" s="5" t="s">
        <v>10</v>
      </c>
    </row>
    <row r="72" customFormat="false" ht="15" hidden="false" customHeight="false" outlineLevel="0" collapsed="false">
      <c r="A72" s="4" t="s">
        <v>79</v>
      </c>
      <c r="B72" s="5" t="s">
        <v>22</v>
      </c>
      <c r="C72" s="5" t="s">
        <v>23</v>
      </c>
      <c r="D72" s="6" t="n">
        <v>18000</v>
      </c>
      <c r="E72" s="5" t="s">
        <v>24</v>
      </c>
    </row>
    <row r="73" customFormat="false" ht="15" hidden="false" customHeight="false" outlineLevel="0" collapsed="false">
      <c r="A73" s="4" t="s">
        <v>79</v>
      </c>
      <c r="B73" s="5" t="s">
        <v>29</v>
      </c>
      <c r="C73" s="5" t="s">
        <v>63</v>
      </c>
      <c r="D73" s="6" t="n">
        <v>3080</v>
      </c>
      <c r="E73" s="5" t="s">
        <v>10</v>
      </c>
    </row>
    <row r="74" customFormat="false" ht="15" hidden="false" customHeight="false" outlineLevel="0" collapsed="false">
      <c r="A74" s="4" t="s">
        <v>80</v>
      </c>
      <c r="B74" s="5" t="s">
        <v>26</v>
      </c>
      <c r="C74" s="5" t="s">
        <v>52</v>
      </c>
      <c r="D74" s="6" t="n">
        <v>273</v>
      </c>
      <c r="E74" s="5" t="s">
        <v>17</v>
      </c>
    </row>
    <row r="75" customFormat="false" ht="15" hidden="false" customHeight="false" outlineLevel="0" collapsed="false">
      <c r="A75" s="4" t="s">
        <v>81</v>
      </c>
      <c r="B75" s="5" t="s">
        <v>8</v>
      </c>
      <c r="C75" s="5" t="s">
        <v>16</v>
      </c>
      <c r="D75" s="6" t="n">
        <v>7694</v>
      </c>
      <c r="E75" s="5" t="s">
        <v>20</v>
      </c>
    </row>
    <row r="76" customFormat="false" ht="15" hidden="false" customHeight="false" outlineLevel="0" collapsed="false">
      <c r="A76" s="4" t="s">
        <v>78</v>
      </c>
      <c r="B76" s="5" t="s">
        <v>26</v>
      </c>
      <c r="C76" s="5" t="s">
        <v>47</v>
      </c>
      <c r="D76" s="6" t="n">
        <v>1944</v>
      </c>
      <c r="E76" s="5" t="s">
        <v>17</v>
      </c>
    </row>
    <row r="77" customFormat="false" ht="15" hidden="false" customHeight="false" outlineLevel="0" collapsed="false">
      <c r="A77" s="4" t="s">
        <v>82</v>
      </c>
      <c r="B77" s="5" t="s">
        <v>41</v>
      </c>
      <c r="C77" s="5" t="s">
        <v>59</v>
      </c>
      <c r="D77" s="6" t="n">
        <v>1373</v>
      </c>
      <c r="E77" s="5" t="s">
        <v>20</v>
      </c>
    </row>
    <row r="78" customFormat="false" ht="15" hidden="false" customHeight="false" outlineLevel="0" collapsed="false">
      <c r="A78" s="4" t="s">
        <v>83</v>
      </c>
      <c r="B78" s="5" t="s">
        <v>12</v>
      </c>
      <c r="C78" s="5" t="s">
        <v>13</v>
      </c>
      <c r="D78" s="6" t="n">
        <v>3212</v>
      </c>
      <c r="E78" s="5" t="s">
        <v>10</v>
      </c>
    </row>
    <row r="79" customFormat="false" ht="15" hidden="false" customHeight="false" outlineLevel="0" collapsed="false">
      <c r="A79" s="4" t="s">
        <v>84</v>
      </c>
      <c r="B79" s="5" t="s">
        <v>12</v>
      </c>
      <c r="C79" s="5" t="s">
        <v>13</v>
      </c>
      <c r="D79" s="6" t="n">
        <v>1804</v>
      </c>
      <c r="E79" s="5" t="s">
        <v>20</v>
      </c>
    </row>
    <row r="80" customFormat="false" ht="15" hidden="false" customHeight="false" outlineLevel="0" collapsed="false">
      <c r="A80" s="4" t="s">
        <v>78</v>
      </c>
      <c r="B80" s="5" t="s">
        <v>22</v>
      </c>
      <c r="C80" s="5" t="s">
        <v>23</v>
      </c>
      <c r="D80" s="6" t="n">
        <v>18000</v>
      </c>
      <c r="E80" s="5" t="s">
        <v>17</v>
      </c>
    </row>
    <row r="81" customFormat="false" ht="15" hidden="false" customHeight="false" outlineLevel="0" collapsed="false">
      <c r="A81" s="4" t="s">
        <v>85</v>
      </c>
      <c r="B81" s="5" t="s">
        <v>26</v>
      </c>
      <c r="C81" s="5" t="s">
        <v>47</v>
      </c>
      <c r="D81" s="6" t="n">
        <v>2359</v>
      </c>
      <c r="E81" s="5" t="s">
        <v>20</v>
      </c>
    </row>
    <row r="82" customFormat="false" ht="15" hidden="false" customHeight="false" outlineLevel="0" collapsed="false">
      <c r="A82" s="4" t="s">
        <v>86</v>
      </c>
      <c r="B82" s="5" t="s">
        <v>12</v>
      </c>
      <c r="C82" s="5" t="s">
        <v>13</v>
      </c>
      <c r="D82" s="6" t="n">
        <v>2039</v>
      </c>
      <c r="E82" s="5" t="s">
        <v>17</v>
      </c>
    </row>
    <row r="83" customFormat="false" ht="15" hidden="false" customHeight="false" outlineLevel="0" collapsed="false">
      <c r="A83" s="4" t="s">
        <v>87</v>
      </c>
      <c r="B83" s="5" t="s">
        <v>22</v>
      </c>
      <c r="C83" s="5" t="s">
        <v>23</v>
      </c>
      <c r="D83" s="6" t="n">
        <v>18000</v>
      </c>
      <c r="E83" s="5" t="s">
        <v>20</v>
      </c>
    </row>
    <row r="84" customFormat="false" ht="15" hidden="false" customHeight="false" outlineLevel="0" collapsed="false">
      <c r="A84" s="4" t="s">
        <v>75</v>
      </c>
      <c r="B84" s="5" t="s">
        <v>12</v>
      </c>
      <c r="C84" s="5" t="s">
        <v>13</v>
      </c>
      <c r="D84" s="6" t="n">
        <v>2473</v>
      </c>
      <c r="E84" s="5" t="s">
        <v>24</v>
      </c>
    </row>
    <row r="85" customFormat="false" ht="15" hidden="false" customHeight="false" outlineLevel="0" collapsed="false">
      <c r="A85" s="4" t="s">
        <v>86</v>
      </c>
      <c r="B85" s="5" t="s">
        <v>38</v>
      </c>
      <c r="C85" s="5" t="s">
        <v>49</v>
      </c>
      <c r="D85" s="6" t="n">
        <v>274</v>
      </c>
      <c r="E85" s="5" t="s">
        <v>17</v>
      </c>
    </row>
    <row r="86" customFormat="false" ht="15" hidden="false" customHeight="false" outlineLevel="0" collapsed="false">
      <c r="A86" s="4" t="s">
        <v>65</v>
      </c>
      <c r="B86" s="5" t="s">
        <v>8</v>
      </c>
      <c r="C86" s="5" t="s">
        <v>9</v>
      </c>
      <c r="D86" s="6" t="n">
        <v>9655</v>
      </c>
      <c r="E86" s="5" t="s">
        <v>20</v>
      </c>
    </row>
    <row r="87" customFormat="false" ht="15" hidden="false" customHeight="false" outlineLevel="0" collapsed="false">
      <c r="A87" s="4" t="s">
        <v>64</v>
      </c>
      <c r="B87" s="5" t="s">
        <v>41</v>
      </c>
      <c r="C87" s="5" t="s">
        <v>42</v>
      </c>
      <c r="D87" s="6" t="n">
        <v>1039</v>
      </c>
      <c r="E87" s="5" t="s">
        <v>20</v>
      </c>
    </row>
    <row r="88" customFormat="false" ht="15" hidden="false" customHeight="false" outlineLevel="0" collapsed="false">
      <c r="A88" s="4" t="s">
        <v>88</v>
      </c>
      <c r="B88" s="5" t="s">
        <v>18</v>
      </c>
      <c r="C88" s="5" t="s">
        <v>89</v>
      </c>
      <c r="D88" s="6" t="n">
        <v>2160</v>
      </c>
      <c r="E88" s="5" t="s">
        <v>10</v>
      </c>
    </row>
    <row r="89" customFormat="false" ht="15" hidden="false" customHeight="false" outlineLevel="0" collapsed="false">
      <c r="A89" s="4" t="s">
        <v>74</v>
      </c>
      <c r="B89" s="5" t="s">
        <v>41</v>
      </c>
      <c r="C89" s="5" t="s">
        <v>42</v>
      </c>
      <c r="D89" s="6" t="n">
        <v>1924</v>
      </c>
      <c r="E89" s="5" t="s">
        <v>24</v>
      </c>
    </row>
    <row r="90" customFormat="false" ht="15" hidden="false" customHeight="false" outlineLevel="0" collapsed="false">
      <c r="A90" s="4" t="s">
        <v>64</v>
      </c>
      <c r="B90" s="5" t="s">
        <v>26</v>
      </c>
      <c r="C90" s="5" t="s">
        <v>47</v>
      </c>
      <c r="D90" s="6" t="n">
        <v>1737</v>
      </c>
      <c r="E90" s="5" t="s">
        <v>17</v>
      </c>
    </row>
    <row r="91" customFormat="false" ht="15" hidden="false" customHeight="false" outlineLevel="0" collapsed="false">
      <c r="A91" s="4" t="s">
        <v>67</v>
      </c>
      <c r="B91" s="5" t="s">
        <v>18</v>
      </c>
      <c r="C91" s="5" t="s">
        <v>19</v>
      </c>
      <c r="D91" s="6" t="n">
        <v>2418</v>
      </c>
      <c r="E91" s="5" t="s">
        <v>10</v>
      </c>
    </row>
    <row r="92" customFormat="false" ht="15" hidden="false" customHeight="false" outlineLevel="0" collapsed="false">
      <c r="A92" s="4" t="s">
        <v>77</v>
      </c>
      <c r="B92" s="5" t="s">
        <v>26</v>
      </c>
      <c r="C92" s="5" t="s">
        <v>47</v>
      </c>
      <c r="D92" s="6" t="n">
        <v>865</v>
      </c>
      <c r="E92" s="5" t="s">
        <v>20</v>
      </c>
    </row>
    <row r="93" customFormat="false" ht="15" hidden="false" customHeight="false" outlineLevel="0" collapsed="false">
      <c r="A93" s="4" t="s">
        <v>62</v>
      </c>
      <c r="B93" s="5" t="s">
        <v>29</v>
      </c>
      <c r="C93" s="5" t="s">
        <v>63</v>
      </c>
      <c r="D93" s="6" t="n">
        <v>4737</v>
      </c>
      <c r="E93" s="5" t="s">
        <v>10</v>
      </c>
    </row>
    <row r="94" customFormat="false" ht="15" hidden="false" customHeight="false" outlineLevel="0" collapsed="false">
      <c r="A94" s="4" t="s">
        <v>86</v>
      </c>
      <c r="B94" s="5" t="s">
        <v>18</v>
      </c>
      <c r="C94" s="5" t="s">
        <v>89</v>
      </c>
      <c r="D94" s="6" t="n">
        <v>1395</v>
      </c>
      <c r="E94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3" t="s">
        <v>3</v>
      </c>
      <c r="B4" s="3" t="s">
        <v>92</v>
      </c>
    </row>
    <row r="5" customFormat="false" ht="15" hidden="false" customHeight="false" outlineLevel="0" collapsed="false">
      <c r="A5" s="7" t="s">
        <v>22</v>
      </c>
      <c r="B5" s="8" t="n">
        <v>18000</v>
      </c>
    </row>
    <row r="6" customFormat="false" ht="15" hidden="false" customHeight="false" outlineLevel="0" collapsed="false">
      <c r="A6" s="7" t="s">
        <v>12</v>
      </c>
      <c r="B6" s="8" t="n">
        <v>8000</v>
      </c>
    </row>
    <row r="7" customFormat="false" ht="15" hidden="false" customHeight="false" outlineLevel="0" collapsed="false">
      <c r="A7" s="7" t="s">
        <v>18</v>
      </c>
      <c r="B7" s="8" t="n">
        <v>4000</v>
      </c>
    </row>
    <row r="8" customFormat="false" ht="15" hidden="false" customHeight="false" outlineLevel="0" collapsed="false">
      <c r="A8" s="7" t="s">
        <v>35</v>
      </c>
      <c r="B8" s="8" t="n">
        <v>3000</v>
      </c>
    </row>
    <row r="9" customFormat="false" ht="15" hidden="false" customHeight="false" outlineLevel="0" collapsed="false">
      <c r="A9" s="7" t="s">
        <v>38</v>
      </c>
      <c r="B9" s="8" t="n">
        <v>3000</v>
      </c>
    </row>
    <row r="10" customFormat="false" ht="15" hidden="false" customHeight="false" outlineLevel="0" collapsed="false">
      <c r="A10" s="7" t="s">
        <v>41</v>
      </c>
      <c r="B10" s="8" t="n">
        <v>2500</v>
      </c>
    </row>
    <row r="11" customFormat="false" ht="15" hidden="false" customHeight="false" outlineLevel="0" collapsed="false">
      <c r="A11" s="7" t="s">
        <v>26</v>
      </c>
      <c r="B11" s="8" t="n">
        <v>3000</v>
      </c>
    </row>
    <row r="12" customFormat="false" ht="15" hidden="false" customHeight="false" outlineLevel="0" collapsed="false">
      <c r="A12" s="7" t="s">
        <v>29</v>
      </c>
      <c r="B12" s="8" t="n">
        <v>4000</v>
      </c>
    </row>
    <row r="13" customFormat="false" ht="15" hidden="false" customHeight="false" outlineLevel="0" collapsed="false">
      <c r="A13" s="7" t="s">
        <v>8</v>
      </c>
      <c r="B13" s="8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3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</row>
    <row r="5" customFormat="false" ht="15" hidden="false" customHeight="false" outlineLevel="0" collapsed="false">
      <c r="A5" s="5" t="s">
        <v>22</v>
      </c>
      <c r="B5" s="6" t="n">
        <f aca="false">VLOOKUP(A5,Budget!$A$5:$B$13,2,0)</f>
        <v>18000</v>
      </c>
      <c r="C5" s="6" t="n">
        <f aca="false">SUMIF(Transactions!$B$5:$B$94,A5,Transactions!$D$5:$D$94)</f>
        <v>180000</v>
      </c>
      <c r="D5" s="6" t="n">
        <f aca="false">B5-C5</f>
        <v>-162000</v>
      </c>
      <c r="E5" s="9" t="n">
        <f aca="false">C5/B5</f>
        <v>10</v>
      </c>
      <c r="F5" s="5" t="str">
        <f aca="false">IF(C5&gt;B5,"Over Budget","OK")</f>
        <v>Over Budget</v>
      </c>
    </row>
    <row r="6" customFormat="false" ht="15" hidden="false" customHeight="false" outlineLevel="0" collapsed="false">
      <c r="A6" s="5" t="s">
        <v>12</v>
      </c>
      <c r="B6" s="6" t="n">
        <f aca="false">VLOOKUP(A6,Budget!$A$5:$B$13,2,0)</f>
        <v>8000</v>
      </c>
      <c r="C6" s="6" t="n">
        <f aca="false">SUMIF(Transactions!$B$5:$B$94,A6,Transactions!$D$5:$D$94)</f>
        <v>13868</v>
      </c>
      <c r="D6" s="6" t="n">
        <f aca="false">B6-C6</f>
        <v>-5868</v>
      </c>
      <c r="E6" s="9" t="n">
        <f aca="false">C6/B6</f>
        <v>1.7335</v>
      </c>
      <c r="F6" s="5" t="str">
        <f aca="false">IF(C6&gt;B6,"Over Budget","OK")</f>
        <v>Over Budget</v>
      </c>
    </row>
    <row r="7" customFormat="false" ht="15" hidden="false" customHeight="false" outlineLevel="0" collapsed="false">
      <c r="A7" s="5" t="s">
        <v>18</v>
      </c>
      <c r="B7" s="6" t="n">
        <f aca="false">VLOOKUP(A7,Budget!$A$5:$B$13,2,0)</f>
        <v>4000</v>
      </c>
      <c r="C7" s="6" t="n">
        <f aca="false">SUMIF(Transactions!$B$5:$B$94,A7,Transactions!$D$5:$D$94)</f>
        <v>15213</v>
      </c>
      <c r="D7" s="6" t="n">
        <f aca="false">B7-C7</f>
        <v>-11213</v>
      </c>
      <c r="E7" s="9" t="n">
        <f aca="false">C7/B7</f>
        <v>3.80325</v>
      </c>
      <c r="F7" s="5" t="str">
        <f aca="false">IF(C7&gt;B7,"Over Budget","OK")</f>
        <v>Over Budget</v>
      </c>
    </row>
    <row r="8" customFormat="false" ht="15" hidden="false" customHeight="false" outlineLevel="0" collapsed="false">
      <c r="A8" s="5" t="s">
        <v>35</v>
      </c>
      <c r="B8" s="6" t="n">
        <f aca="false">VLOOKUP(A8,Budget!$A$5:$B$13,2,0)</f>
        <v>3000</v>
      </c>
      <c r="C8" s="6" t="n">
        <f aca="false">SUMIF(Transactions!$B$5:$B$94,A8,Transactions!$D$5:$D$94)</f>
        <v>4352</v>
      </c>
      <c r="D8" s="6" t="n">
        <f aca="false">B8-C8</f>
        <v>-1352</v>
      </c>
      <c r="E8" s="9" t="n">
        <f aca="false">C8/B8</f>
        <v>1.45066666666667</v>
      </c>
      <c r="F8" s="5" t="str">
        <f aca="false">IF(C8&gt;B8,"Over Budget","OK")</f>
        <v>Over Budget</v>
      </c>
    </row>
    <row r="9" customFormat="false" ht="15" hidden="false" customHeight="false" outlineLevel="0" collapsed="false">
      <c r="A9" s="5" t="s">
        <v>38</v>
      </c>
      <c r="B9" s="6" t="n">
        <f aca="false">VLOOKUP(A9,Budget!$A$5:$B$13,2,0)</f>
        <v>3000</v>
      </c>
      <c r="C9" s="6" t="n">
        <f aca="false">SUMIF(Transactions!$B$5:$B$94,A9,Transactions!$D$5:$D$94)</f>
        <v>8828</v>
      </c>
      <c r="D9" s="6" t="n">
        <f aca="false">B9-C9</f>
        <v>-5828</v>
      </c>
      <c r="E9" s="9" t="n">
        <f aca="false">C9/B9</f>
        <v>2.94266666666667</v>
      </c>
      <c r="F9" s="5" t="str">
        <f aca="false">IF(C9&gt;B9,"Over Budget","OK")</f>
        <v>Over Budget</v>
      </c>
    </row>
    <row r="10" customFormat="false" ht="15" hidden="false" customHeight="false" outlineLevel="0" collapsed="false">
      <c r="A10" s="5" t="s">
        <v>41</v>
      </c>
      <c r="B10" s="6" t="n">
        <f aca="false">VLOOKUP(A10,Budget!$A$5:$B$13,2,0)</f>
        <v>2500</v>
      </c>
      <c r="C10" s="6" t="n">
        <f aca="false">SUMIF(Transactions!$B$5:$B$94,A10,Transactions!$D$5:$D$94)</f>
        <v>12155</v>
      </c>
      <c r="D10" s="6" t="n">
        <f aca="false">B10-C10</f>
        <v>-9655</v>
      </c>
      <c r="E10" s="9" t="n">
        <f aca="false">C10/B10</f>
        <v>4.862</v>
      </c>
      <c r="F10" s="5" t="str">
        <f aca="false">IF(C10&gt;B10,"Over Budget","OK")</f>
        <v>Over Budget</v>
      </c>
    </row>
    <row r="11" customFormat="false" ht="15" hidden="false" customHeight="false" outlineLevel="0" collapsed="false">
      <c r="A11" s="5" t="s">
        <v>26</v>
      </c>
      <c r="B11" s="6" t="n">
        <f aca="false">VLOOKUP(A11,Budget!$A$5:$B$13,2,0)</f>
        <v>3000</v>
      </c>
      <c r="C11" s="6" t="n">
        <f aca="false">SUMIF(Transactions!$B$5:$B$94,A11,Transactions!$D$5:$D$94)</f>
        <v>22440</v>
      </c>
      <c r="D11" s="6" t="n">
        <f aca="false">B11-C11</f>
        <v>-19440</v>
      </c>
      <c r="E11" s="9" t="n">
        <f aca="false">C11/B11</f>
        <v>7.48</v>
      </c>
      <c r="F11" s="5" t="str">
        <f aca="false">IF(C11&gt;B11,"Over Budget","OK")</f>
        <v>Over Budget</v>
      </c>
    </row>
    <row r="12" customFormat="false" ht="15" hidden="false" customHeight="false" outlineLevel="0" collapsed="false">
      <c r="A12" s="5" t="s">
        <v>29</v>
      </c>
      <c r="B12" s="6" t="n">
        <f aca="false">VLOOKUP(A12,Budget!$A$5:$B$13,2,0)</f>
        <v>4000</v>
      </c>
      <c r="C12" s="6" t="n">
        <f aca="false">SUMIF(Transactions!$B$5:$B$94,A12,Transactions!$D$5:$D$94)</f>
        <v>32905</v>
      </c>
      <c r="D12" s="6" t="n">
        <f aca="false">B12-C12</f>
        <v>-28905</v>
      </c>
      <c r="E12" s="9" t="n">
        <f aca="false">C12/B12</f>
        <v>8.22625</v>
      </c>
      <c r="F12" s="5" t="str">
        <f aca="false">IF(C12&gt;B12,"Over Budget","OK")</f>
        <v>Over Budget</v>
      </c>
    </row>
    <row r="13" customFormat="false" ht="15" hidden="false" customHeight="false" outlineLevel="0" collapsed="false">
      <c r="A13" s="5" t="s">
        <v>8</v>
      </c>
      <c r="B13" s="6" t="n">
        <f aca="false">VLOOKUP(A13,Budget!$A$5:$B$13,2,0)</f>
        <v>10000</v>
      </c>
      <c r="C13" s="6" t="n">
        <f aca="false">SUMIF(Transactions!$B$5:$B$94,A13,Transactions!$D$5:$D$94)</f>
        <v>81696</v>
      </c>
      <c r="D13" s="6" t="n">
        <f aca="false">B13-C13</f>
        <v>-71696</v>
      </c>
      <c r="E13" s="9" t="n">
        <f aca="false">C13/B13</f>
        <v>8.1696</v>
      </c>
      <c r="F13" s="5" t="str">
        <f aca="false">IF(C13&gt;B13,"Over Budget","OK")</f>
        <v>Over Budget</v>
      </c>
    </row>
    <row r="14" customFormat="false" ht="15" hidden="false" customHeight="false" outlineLevel="0" collapsed="false">
      <c r="A14" s="10" t="s">
        <v>100</v>
      </c>
      <c r="B14" s="11" t="n">
        <f aca="false">SUM(B5:B13)</f>
        <v>55500</v>
      </c>
      <c r="C14" s="11" t="n">
        <f aca="false">SUM(C5:C13)</f>
        <v>371457</v>
      </c>
      <c r="D14" s="11" t="n">
        <f aca="false">SUM(D5:D13)</f>
        <v>-315957</v>
      </c>
    </row>
  </sheetData>
  <conditionalFormatting sqref="F5:F13">
    <cfRule type="cellIs" priority="2" operator="equal" aboveAverage="0" equalAverage="0" bottom="0" percent="0" rank="0" text="" dxfId="0">
      <formula>"Over Budget"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101</v>
      </c>
    </row>
    <row r="3" customFormat="false" ht="15" hidden="false" customHeight="false" outlineLevel="0" collapsed="false">
      <c r="A3" s="0" t="s">
        <v>102</v>
      </c>
      <c r="B3" s="0" t="s">
        <v>103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5" t="s">
        <v>104</v>
      </c>
      <c r="B5" s="6" t="n">
        <f aca="false">SUMPRODUCT((TEXT(Transactions!$A$5:$A$94,"yyyy-mm")="2026-06")*Transactions!$D$5:$D$94)</f>
        <v>164324</v>
      </c>
    </row>
    <row r="6" customFormat="false" ht="15" hidden="false" customHeight="false" outlineLevel="0" collapsed="false">
      <c r="A6" s="5" t="s">
        <v>105</v>
      </c>
      <c r="B6" s="6" t="n">
        <f aca="false">SUMPRODUCT((TEXT(Transactions!$A$5:$A$94,"yyyy-mm")="2026-07")*Transactions!$D$5:$D$94)</f>
        <v>207133</v>
      </c>
    </row>
    <row r="8" customFormat="false" ht="15" hidden="false" customHeight="false" outlineLevel="0" collapsed="false">
      <c r="A8" s="10" t="s">
        <v>106</v>
      </c>
      <c r="B8" s="12" t="n">
        <f aca="false">COUNTIF('Monthly Summary'!$F$5:$F$13,"Over Budget")</f>
        <v>9</v>
      </c>
    </row>
    <row r="9" customFormat="false" ht="15" hidden="false" customHeight="false" outlineLevel="0" collapsed="false">
      <c r="A9" s="10" t="s">
        <v>107</v>
      </c>
      <c r="B9" s="13" t="n">
        <f aca="false">'Monthly Summary'!C14</f>
        <v>371457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2026-07-23T12:27:00Z</dcterms:created>
  <dc:creator>openpyxl</dc:creator>
  <dc:description/>
  <dc:language>en-US</dc:language>
  <cp:lastModifiedBy/>
  <dcterms:modified xsi:type="dcterms:W3CDTF">2026-07-23T12:27:02Z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