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alary Calculator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<sst xmlns="http://schemas.openxmlformats.org/spreadsheetml/2006/main" count="88" uniqueCount="65">
  <si>
    <t xml:space="preserve">Salary Calculator - Assumptions</t>
  </si>
  <si>
    <t xml:space="preserve">Yellow cells are editable inputs. All calculations update automatically.</t>
  </si>
  <si>
    <t xml:space="preserve">HRA (% of Basic)</t>
  </si>
  <si>
    <t xml:space="preserve">Special Allowance (% of Basic)</t>
  </si>
  <si>
    <t xml:space="preserve">Employee PF (% of Basic)</t>
  </si>
  <si>
    <t xml:space="preserve">Professional Tax (monthly, flat)</t>
  </si>
  <si>
    <t xml:space="preserve">Performance Bonus (% of Basic, if eligible)</t>
  </si>
  <si>
    <t xml:space="preserve">Income Tax Slab 1 (up to this annual gross, taxed at Rate 1)</t>
  </si>
  <si>
    <t xml:space="preserve">Tax Rate 1</t>
  </si>
  <si>
    <t xml:space="preserve">Tax Rate 2 (above Slab 1)</t>
  </si>
  <si>
    <t xml:space="preserve">Monthly Salary Calculator</t>
  </si>
  <si>
    <t xml:space="preserve">Enter Employee Name, Department, Basic Salary, and Bonus Eligible (Yes/No) — everything else calculates automatically.</t>
  </si>
  <si>
    <t xml:space="preserve">Emp ID</t>
  </si>
  <si>
    <t xml:space="preserve">Name</t>
  </si>
  <si>
    <t xml:space="preserve">Department</t>
  </si>
  <si>
    <t xml:space="preserve">Basic Salary</t>
  </si>
  <si>
    <t xml:space="preserve">HRA</t>
  </si>
  <si>
    <t xml:space="preserve">Special Allowance</t>
  </si>
  <si>
    <t xml:space="preserve">Bonus Eligible</t>
  </si>
  <si>
    <t xml:space="preserve">Bonus</t>
  </si>
  <si>
    <t xml:space="preserve">Gross Salary</t>
  </si>
  <si>
    <t xml:space="preserve">Employee PF</t>
  </si>
  <si>
    <t xml:space="preserve">Professional Tax</t>
  </si>
  <si>
    <t xml:space="preserve">Income Tax</t>
  </si>
  <si>
    <t xml:space="preserve">Total Deductions</t>
  </si>
  <si>
    <t xml:space="preserve">Net Salary</t>
  </si>
  <si>
    <t xml:space="preserve">E001</t>
  </si>
  <si>
    <t xml:space="preserve">Aarav Sharma</t>
  </si>
  <si>
    <t xml:space="preserve">Sales</t>
  </si>
  <si>
    <t xml:space="preserve">Yes</t>
  </si>
  <si>
    <t xml:space="preserve">E002</t>
  </si>
  <si>
    <t xml:space="preserve">Priya Nair</t>
  </si>
  <si>
    <t xml:space="preserve">No</t>
  </si>
  <si>
    <t xml:space="preserve">E003</t>
  </si>
  <si>
    <t xml:space="preserve">Rohan Mehta</t>
  </si>
  <si>
    <t xml:space="preserve">IT</t>
  </si>
  <si>
    <t xml:space="preserve">E004</t>
  </si>
  <si>
    <t xml:space="preserve">Sneha Kapoor</t>
  </si>
  <si>
    <t xml:space="preserve">E005</t>
  </si>
  <si>
    <t xml:space="preserve">Vikram Singh</t>
  </si>
  <si>
    <t xml:space="preserve">HR</t>
  </si>
  <si>
    <t xml:space="preserve">E006</t>
  </si>
  <si>
    <t xml:space="preserve">Anjali Rao</t>
  </si>
  <si>
    <t xml:space="preserve">E007</t>
  </si>
  <si>
    <t xml:space="preserve">Karan Malhotra</t>
  </si>
  <si>
    <t xml:space="preserve">Finance</t>
  </si>
  <si>
    <t xml:space="preserve">E008</t>
  </si>
  <si>
    <t xml:space="preserve">Divya Iyer</t>
  </si>
  <si>
    <t xml:space="preserve">E009</t>
  </si>
  <si>
    <t xml:space="preserve">Arjun Verma</t>
  </si>
  <si>
    <t xml:space="preserve">E010</t>
  </si>
  <si>
    <t xml:space="preserve">Neha Joshi</t>
  </si>
  <si>
    <t xml:space="preserve">E011</t>
  </si>
  <si>
    <t xml:space="preserve">Ishaan Bose</t>
  </si>
  <si>
    <t xml:space="preserve">Marketing</t>
  </si>
  <si>
    <t xml:space="preserve">E012</t>
  </si>
  <si>
    <t xml:space="preserve">Meera Pillai</t>
  </si>
  <si>
    <t xml:space="preserve">TOTAL</t>
  </si>
  <si>
    <t xml:space="preserve">Salary Dashboard</t>
  </si>
  <si>
    <t xml:space="preserve">Headcount</t>
  </si>
  <si>
    <t xml:space="preserve">Total Gross</t>
  </si>
  <si>
    <t xml:space="preserve">Total Net Payout</t>
  </si>
  <si>
    <t xml:space="preserve">Avg Net Salary</t>
  </si>
  <si>
    <t xml:space="preserve">Total Monthly Payroll (Net)</t>
  </si>
  <si>
    <t xml:space="preserve">Total Headcount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</si>
</sst>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Net Payout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Dashboard!$D$5:$D$9</c:f>
              <c:numCache>
                <c:formatCode>#,##0</c:formatCode>
                <c:ptCount val="5"/>
                <c:pt idx="0">
                  <c:v>125475</c:v>
                </c:pt>
                <c:pt idx="1">
                  <c:v>87600</c:v>
                </c:pt>
                <c:pt idx="2">
                  <c:v>125275</c:v>
                </c:pt>
                <c:pt idx="3">
                  <c:v>74350</c:v>
                </c:pt>
                <c:pt idx="4">
                  <c:v>239000</c:v>
                </c:pt>
              </c:numCache>
            </c:numRef>
          </c:val>
        </c:ser>
        <c:gapWidth val="150"/>
        <c:overlap val="0"/>
        <c:axId val="41152552"/>
        <c:axId val="86839252"/>
      </c:barChart>
      <c:catAx>
        <c:axId val="41152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39252"/>
        <c:crosses val="autoZero"/>
        <c:auto val="1"/>
        <c:lblAlgn val="ctr"/>
        <c:lblOffset val="100"/>
        <c:noMultiLvlLbl val="0"/>
      </c:catAx>
      <c:valAx>
        <c:axId val="86839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Payout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52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15</xdr:col>
      <xdr:colOff>256320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56865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0.4</v>
      </c>
    </row>
    <row r="5" customFormat="false" ht="15" hidden="false" customHeight="false" outlineLevel="0" collapsed="false">
      <c r="A5" s="3" t="s">
        <v>3</v>
      </c>
      <c r="B5" s="4" t="n">
        <v>0.2</v>
      </c>
    </row>
    <row r="6" customFormat="false" ht="15" hidden="false" customHeight="false" outlineLevel="0" collapsed="false">
      <c r="A6" s="3" t="s">
        <v>4</v>
      </c>
      <c r="B6" s="4" t="n">
        <v>0.12</v>
      </c>
    </row>
    <row r="7" customFormat="false" ht="15" hidden="false" customHeight="false" outlineLevel="0" collapsed="false">
      <c r="A7" s="3" t="s">
        <v>5</v>
      </c>
      <c r="B7" s="5" t="n">
        <v>200</v>
      </c>
    </row>
    <row r="8" customFormat="false" ht="15" hidden="false" customHeight="false" outlineLevel="0" collapsed="false">
      <c r="A8" s="3" t="s">
        <v>6</v>
      </c>
      <c r="B8" s="4" t="n">
        <v>0.1</v>
      </c>
    </row>
    <row r="9" customFormat="false" ht="15" hidden="false" customHeight="false" outlineLevel="0" collapsed="false">
      <c r="A9" s="3" t="s">
        <v>7</v>
      </c>
      <c r="B9" s="5" t="n">
        <v>500000</v>
      </c>
    </row>
    <row r="10" customFormat="false" ht="15" hidden="false" customHeight="false" outlineLevel="0" collapsed="false">
      <c r="A10" s="3" t="s">
        <v>8</v>
      </c>
      <c r="B10" s="4" t="n">
        <v>0.05</v>
      </c>
    </row>
    <row r="11" customFormat="false" ht="15" hidden="false" customHeight="false" outlineLevel="0" collapsed="false">
      <c r="A11" s="3" t="s">
        <v>9</v>
      </c>
      <c r="B11" s="4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26.8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s">
        <v>28</v>
      </c>
      <c r="D5" s="5" t="n">
        <v>55000</v>
      </c>
      <c r="E5" s="7" t="n">
        <f aca="false">D5*Assumptions!$B$4</f>
        <v>22000</v>
      </c>
      <c r="F5" s="7" t="n">
        <f aca="false">D5*Assumptions!$B$5</f>
        <v>11000</v>
      </c>
      <c r="G5" s="8" t="s">
        <v>29</v>
      </c>
      <c r="H5" s="7" t="n">
        <f aca="false">IF(G5="Yes",D5*Assumptions!$B$8,0)</f>
        <v>5500</v>
      </c>
      <c r="I5" s="7" t="n">
        <f aca="false">D5+E5+F5+H5</f>
        <v>93500</v>
      </c>
      <c r="J5" s="7" t="n">
        <f aca="false">D5*Assumptions!$B$6</f>
        <v>6600</v>
      </c>
      <c r="K5" s="7" t="n">
        <f aca="false">Assumptions!$B$7</f>
        <v>200</v>
      </c>
      <c r="L5" s="7" t="n">
        <f aca="false">IF(I5*12&lt;=Assumptions!$B$9,I5*Assumptions!$B$10,I5*Assumptions!$B$11)</f>
        <v>14025</v>
      </c>
      <c r="M5" s="7" t="n">
        <f aca="false">J5+K5+L5</f>
        <v>20825</v>
      </c>
      <c r="N5" s="7" t="n">
        <f aca="false">I5-M5</f>
        <v>72675</v>
      </c>
    </row>
    <row r="6" customFormat="false" ht="15" hidden="false" customHeight="false" outlineLevel="0" collapsed="false">
      <c r="A6" s="3" t="s">
        <v>30</v>
      </c>
      <c r="B6" s="3" t="s">
        <v>31</v>
      </c>
      <c r="C6" s="3" t="s">
        <v>28</v>
      </c>
      <c r="D6" s="5" t="n">
        <v>65000</v>
      </c>
      <c r="E6" s="7" t="n">
        <f aca="false">D6*Assumptions!$B$4</f>
        <v>26000</v>
      </c>
      <c r="F6" s="7" t="n">
        <f aca="false">D6*Assumptions!$B$5</f>
        <v>13000</v>
      </c>
      <c r="G6" s="8" t="s">
        <v>32</v>
      </c>
      <c r="H6" s="7" t="n">
        <f aca="false">IF(G6="Yes",D6*Assumptions!$B$8,0)</f>
        <v>0</v>
      </c>
      <c r="I6" s="7" t="n">
        <f aca="false">D6+E6+F6+H6</f>
        <v>104000</v>
      </c>
      <c r="J6" s="7" t="n">
        <f aca="false">D6*Assumptions!$B$6</f>
        <v>7800</v>
      </c>
      <c r="K6" s="7" t="n">
        <f aca="false">Assumptions!$B$7</f>
        <v>200</v>
      </c>
      <c r="L6" s="7" t="n">
        <f aca="false">IF(I6*12&lt;=Assumptions!$B$9,I6*Assumptions!$B$10,I6*Assumptions!$B$11)</f>
        <v>15600</v>
      </c>
      <c r="M6" s="7" t="n">
        <f aca="false">J6+K6+L6</f>
        <v>23600</v>
      </c>
      <c r="N6" s="7" t="n">
        <f aca="false">I6-M6</f>
        <v>80400</v>
      </c>
    </row>
    <row r="7" customFormat="false" ht="15" hidden="false" customHeight="false" outlineLevel="0" collapsed="false">
      <c r="A7" s="3" t="s">
        <v>33</v>
      </c>
      <c r="B7" s="3" t="s">
        <v>34</v>
      </c>
      <c r="C7" s="3" t="s">
        <v>35</v>
      </c>
      <c r="D7" s="5" t="n">
        <v>25000</v>
      </c>
      <c r="E7" s="7" t="n">
        <f aca="false">D7*Assumptions!$B$4</f>
        <v>10000</v>
      </c>
      <c r="F7" s="7" t="n">
        <f aca="false">D7*Assumptions!$B$5</f>
        <v>5000</v>
      </c>
      <c r="G7" s="8" t="s">
        <v>29</v>
      </c>
      <c r="H7" s="7" t="n">
        <f aca="false">IF(G7="Yes",D7*Assumptions!$B$8,0)</f>
        <v>2500</v>
      </c>
      <c r="I7" s="7" t="n">
        <f aca="false">D7+E7+F7+H7</f>
        <v>42500</v>
      </c>
      <c r="J7" s="7" t="n">
        <f aca="false">D7*Assumptions!$B$6</f>
        <v>3000</v>
      </c>
      <c r="K7" s="7" t="n">
        <f aca="false">Assumptions!$B$7</f>
        <v>200</v>
      </c>
      <c r="L7" s="7" t="n">
        <f aca="false">IF(I7*12&lt;=Assumptions!$B$9,I7*Assumptions!$B$10,I7*Assumptions!$B$11)</f>
        <v>6375</v>
      </c>
      <c r="M7" s="7" t="n">
        <f aca="false">J7+K7+L7</f>
        <v>9575</v>
      </c>
      <c r="N7" s="7" t="n">
        <f aca="false">I7-M7</f>
        <v>32925</v>
      </c>
    </row>
    <row r="8" customFormat="false" ht="15" hidden="false" customHeight="false" outlineLevel="0" collapsed="false">
      <c r="A8" s="3" t="s">
        <v>36</v>
      </c>
      <c r="B8" s="3" t="s">
        <v>37</v>
      </c>
      <c r="C8" s="3" t="s">
        <v>35</v>
      </c>
      <c r="D8" s="5" t="n">
        <v>30000</v>
      </c>
      <c r="E8" s="7" t="n">
        <f aca="false">D8*Assumptions!$B$4</f>
        <v>12000</v>
      </c>
      <c r="F8" s="7" t="n">
        <f aca="false">D8*Assumptions!$B$5</f>
        <v>6000</v>
      </c>
      <c r="G8" s="8" t="s">
        <v>29</v>
      </c>
      <c r="H8" s="7" t="n">
        <f aca="false">IF(G8="Yes",D8*Assumptions!$B$8,0)</f>
        <v>3000</v>
      </c>
      <c r="I8" s="7" t="n">
        <f aca="false">D8+E8+F8+H8</f>
        <v>51000</v>
      </c>
      <c r="J8" s="7" t="n">
        <f aca="false">D8*Assumptions!$B$6</f>
        <v>3600</v>
      </c>
      <c r="K8" s="7" t="n">
        <f aca="false">Assumptions!$B$7</f>
        <v>200</v>
      </c>
      <c r="L8" s="7" t="n">
        <f aca="false">IF(I8*12&lt;=Assumptions!$B$9,I8*Assumptions!$B$10,I8*Assumptions!$B$11)</f>
        <v>7650</v>
      </c>
      <c r="M8" s="7" t="n">
        <f aca="false">J8+K8+L8</f>
        <v>11450</v>
      </c>
      <c r="N8" s="7" t="n">
        <f aca="false">I8-M8</f>
        <v>39550</v>
      </c>
    </row>
    <row r="9" customFormat="false" ht="15" hidden="false" customHeight="false" outlineLevel="0" collapsed="false">
      <c r="A9" s="3" t="s">
        <v>38</v>
      </c>
      <c r="B9" s="3" t="s">
        <v>39</v>
      </c>
      <c r="C9" s="3" t="s">
        <v>40</v>
      </c>
      <c r="D9" s="5" t="n">
        <v>25000</v>
      </c>
      <c r="E9" s="7" t="n">
        <f aca="false">D9*Assumptions!$B$4</f>
        <v>10000</v>
      </c>
      <c r="F9" s="7" t="n">
        <f aca="false">D9*Assumptions!$B$5</f>
        <v>5000</v>
      </c>
      <c r="G9" s="8" t="s">
        <v>32</v>
      </c>
      <c r="H9" s="7" t="n">
        <f aca="false">IF(G9="Yes",D9*Assumptions!$B$8,0)</f>
        <v>0</v>
      </c>
      <c r="I9" s="7" t="n">
        <f aca="false">D9+E9+F9+H9</f>
        <v>40000</v>
      </c>
      <c r="J9" s="7" t="n">
        <f aca="false">D9*Assumptions!$B$6</f>
        <v>3000</v>
      </c>
      <c r="K9" s="7" t="n">
        <f aca="false">Assumptions!$B$7</f>
        <v>200</v>
      </c>
      <c r="L9" s="7" t="n">
        <f aca="false">IF(I9*12&lt;=Assumptions!$B$9,I9*Assumptions!$B$10,I9*Assumptions!$B$11)</f>
        <v>2000</v>
      </c>
      <c r="M9" s="7" t="n">
        <f aca="false">J9+K9+L9</f>
        <v>5200</v>
      </c>
      <c r="N9" s="7" t="n">
        <f aca="false">I9-M9</f>
        <v>34800</v>
      </c>
    </row>
    <row r="10" customFormat="false" ht="15" hidden="false" customHeight="false" outlineLevel="0" collapsed="false">
      <c r="A10" s="3" t="s">
        <v>41</v>
      </c>
      <c r="B10" s="3" t="s">
        <v>42</v>
      </c>
      <c r="C10" s="3" t="s">
        <v>40</v>
      </c>
      <c r="D10" s="5" t="n">
        <v>40000</v>
      </c>
      <c r="E10" s="7" t="n">
        <f aca="false">D10*Assumptions!$B$4</f>
        <v>16000</v>
      </c>
      <c r="F10" s="7" t="n">
        <f aca="false">D10*Assumptions!$B$5</f>
        <v>8000</v>
      </c>
      <c r="G10" s="8" t="s">
        <v>29</v>
      </c>
      <c r="H10" s="7" t="n">
        <f aca="false">IF(G10="Yes",D10*Assumptions!$B$8,0)</f>
        <v>4000</v>
      </c>
      <c r="I10" s="7" t="n">
        <f aca="false">D10+E10+F10+H10</f>
        <v>68000</v>
      </c>
      <c r="J10" s="7" t="n">
        <f aca="false">D10*Assumptions!$B$6</f>
        <v>4800</v>
      </c>
      <c r="K10" s="7" t="n">
        <f aca="false">Assumptions!$B$7</f>
        <v>200</v>
      </c>
      <c r="L10" s="7" t="n">
        <f aca="false">IF(I10*12&lt;=Assumptions!$B$9,I10*Assumptions!$B$10,I10*Assumptions!$B$11)</f>
        <v>10200</v>
      </c>
      <c r="M10" s="7" t="n">
        <f aca="false">J10+K10+L10</f>
        <v>15200</v>
      </c>
      <c r="N10" s="7" t="n">
        <f aca="false">I10-M10</f>
        <v>52800</v>
      </c>
    </row>
    <row r="11" customFormat="false" ht="15" hidden="false" customHeight="false" outlineLevel="0" collapsed="false">
      <c r="A11" s="3" t="s">
        <v>43</v>
      </c>
      <c r="B11" s="3" t="s">
        <v>44</v>
      </c>
      <c r="C11" s="3" t="s">
        <v>45</v>
      </c>
      <c r="D11" s="5" t="n">
        <v>30000</v>
      </c>
      <c r="E11" s="7" t="n">
        <f aca="false">D11*Assumptions!$B$4</f>
        <v>12000</v>
      </c>
      <c r="F11" s="7" t="n">
        <f aca="false">D11*Assumptions!$B$5</f>
        <v>6000</v>
      </c>
      <c r="G11" s="8" t="s">
        <v>29</v>
      </c>
      <c r="H11" s="7" t="n">
        <f aca="false">IF(G11="Yes",D11*Assumptions!$B$8,0)</f>
        <v>3000</v>
      </c>
      <c r="I11" s="7" t="n">
        <f aca="false">D11+E11+F11+H11</f>
        <v>51000</v>
      </c>
      <c r="J11" s="7" t="n">
        <f aca="false">D11*Assumptions!$B$6</f>
        <v>3600</v>
      </c>
      <c r="K11" s="7" t="n">
        <f aca="false">Assumptions!$B$7</f>
        <v>200</v>
      </c>
      <c r="L11" s="7" t="n">
        <f aca="false">IF(I11*12&lt;=Assumptions!$B$9,I11*Assumptions!$B$10,I11*Assumptions!$B$11)</f>
        <v>7650</v>
      </c>
      <c r="M11" s="7" t="n">
        <f aca="false">J11+K11+L11</f>
        <v>11450</v>
      </c>
      <c r="N11" s="7" t="n">
        <f aca="false">I11-M11</f>
        <v>39550</v>
      </c>
    </row>
    <row r="12" customFormat="false" ht="15" hidden="false" customHeight="false" outlineLevel="0" collapsed="false">
      <c r="A12" s="3" t="s">
        <v>46</v>
      </c>
      <c r="B12" s="3" t="s">
        <v>47</v>
      </c>
      <c r="C12" s="3" t="s">
        <v>45</v>
      </c>
      <c r="D12" s="5" t="n">
        <v>65000</v>
      </c>
      <c r="E12" s="7" t="n">
        <f aca="false">D12*Assumptions!$B$4</f>
        <v>26000</v>
      </c>
      <c r="F12" s="7" t="n">
        <f aca="false">D12*Assumptions!$B$5</f>
        <v>13000</v>
      </c>
      <c r="G12" s="8" t="s">
        <v>29</v>
      </c>
      <c r="H12" s="7" t="n">
        <f aca="false">IF(G12="Yes",D12*Assumptions!$B$8,0)</f>
        <v>6500</v>
      </c>
      <c r="I12" s="7" t="n">
        <f aca="false">D12+E12+F12+H12</f>
        <v>110500</v>
      </c>
      <c r="J12" s="7" t="n">
        <f aca="false">D12*Assumptions!$B$6</f>
        <v>7800</v>
      </c>
      <c r="K12" s="7" t="n">
        <f aca="false">Assumptions!$B$7</f>
        <v>200</v>
      </c>
      <c r="L12" s="7" t="n">
        <f aca="false">IF(I12*12&lt;=Assumptions!$B$9,I12*Assumptions!$B$10,I12*Assumptions!$B$11)</f>
        <v>16575</v>
      </c>
      <c r="M12" s="7" t="n">
        <f aca="false">J12+K12+L12</f>
        <v>24575</v>
      </c>
      <c r="N12" s="7" t="n">
        <f aca="false">I12-M12</f>
        <v>85925</v>
      </c>
    </row>
    <row r="13" customFormat="false" ht="15" hidden="false" customHeight="false" outlineLevel="0" collapsed="false">
      <c r="A13" s="3" t="s">
        <v>48</v>
      </c>
      <c r="B13" s="3" t="s">
        <v>49</v>
      </c>
      <c r="C13" s="3" t="s">
        <v>35</v>
      </c>
      <c r="D13" s="5" t="n">
        <v>40000</v>
      </c>
      <c r="E13" s="7" t="n">
        <f aca="false">D13*Assumptions!$B$4</f>
        <v>16000</v>
      </c>
      <c r="F13" s="7" t="n">
        <f aca="false">D13*Assumptions!$B$5</f>
        <v>8000</v>
      </c>
      <c r="G13" s="8" t="s">
        <v>29</v>
      </c>
      <c r="H13" s="7" t="n">
        <f aca="false">IF(G13="Yes",D13*Assumptions!$B$8,0)</f>
        <v>4000</v>
      </c>
      <c r="I13" s="7" t="n">
        <f aca="false">D13+E13+F13+H13</f>
        <v>68000</v>
      </c>
      <c r="J13" s="7" t="n">
        <f aca="false">D13*Assumptions!$B$6</f>
        <v>4800</v>
      </c>
      <c r="K13" s="7" t="n">
        <f aca="false">Assumptions!$B$7</f>
        <v>200</v>
      </c>
      <c r="L13" s="7" t="n">
        <f aca="false">IF(I13*12&lt;=Assumptions!$B$9,I13*Assumptions!$B$10,I13*Assumptions!$B$11)</f>
        <v>10200</v>
      </c>
      <c r="M13" s="7" t="n">
        <f aca="false">J13+K13+L13</f>
        <v>15200</v>
      </c>
      <c r="N13" s="7" t="n">
        <f aca="false">I13-M13</f>
        <v>52800</v>
      </c>
    </row>
    <row r="14" customFormat="false" ht="15" hidden="false" customHeight="false" outlineLevel="0" collapsed="false">
      <c r="A14" s="3" t="s">
        <v>50</v>
      </c>
      <c r="B14" s="3" t="s">
        <v>51</v>
      </c>
      <c r="C14" s="3" t="s">
        <v>28</v>
      </c>
      <c r="D14" s="5" t="n">
        <v>65000</v>
      </c>
      <c r="E14" s="7" t="n">
        <f aca="false">D14*Assumptions!$B$4</f>
        <v>26000</v>
      </c>
      <c r="F14" s="7" t="n">
        <f aca="false">D14*Assumptions!$B$5</f>
        <v>13000</v>
      </c>
      <c r="G14" s="8" t="s">
        <v>29</v>
      </c>
      <c r="H14" s="7" t="n">
        <f aca="false">IF(G14="Yes",D14*Assumptions!$B$8,0)</f>
        <v>6500</v>
      </c>
      <c r="I14" s="7" t="n">
        <f aca="false">D14+E14+F14+H14</f>
        <v>110500</v>
      </c>
      <c r="J14" s="7" t="n">
        <f aca="false">D14*Assumptions!$B$6</f>
        <v>7800</v>
      </c>
      <c r="K14" s="7" t="n">
        <f aca="false">Assumptions!$B$7</f>
        <v>200</v>
      </c>
      <c r="L14" s="7" t="n">
        <f aca="false">IF(I14*12&lt;=Assumptions!$B$9,I14*Assumptions!$B$10,I14*Assumptions!$B$11)</f>
        <v>16575</v>
      </c>
      <c r="M14" s="7" t="n">
        <f aca="false">J14+K14+L14</f>
        <v>24575</v>
      </c>
      <c r="N14" s="7" t="n">
        <f aca="false">I14-M14</f>
        <v>85925</v>
      </c>
    </row>
    <row r="15" customFormat="false" ht="15" hidden="false" customHeight="false" outlineLevel="0" collapsed="false">
      <c r="A15" s="3" t="s">
        <v>52</v>
      </c>
      <c r="B15" s="3" t="s">
        <v>53</v>
      </c>
      <c r="C15" s="3" t="s">
        <v>54</v>
      </c>
      <c r="D15" s="5" t="n">
        <v>30000</v>
      </c>
      <c r="E15" s="7" t="n">
        <f aca="false">D15*Assumptions!$B$4</f>
        <v>12000</v>
      </c>
      <c r="F15" s="7" t="n">
        <f aca="false">D15*Assumptions!$B$5</f>
        <v>6000</v>
      </c>
      <c r="G15" s="8" t="s">
        <v>29</v>
      </c>
      <c r="H15" s="7" t="n">
        <f aca="false">IF(G15="Yes",D15*Assumptions!$B$8,0)</f>
        <v>3000</v>
      </c>
      <c r="I15" s="7" t="n">
        <f aca="false">D15+E15+F15+H15</f>
        <v>51000</v>
      </c>
      <c r="J15" s="7" t="n">
        <f aca="false">D15*Assumptions!$B$6</f>
        <v>3600</v>
      </c>
      <c r="K15" s="7" t="n">
        <f aca="false">Assumptions!$B$7</f>
        <v>200</v>
      </c>
      <c r="L15" s="7" t="n">
        <f aca="false">IF(I15*12&lt;=Assumptions!$B$9,I15*Assumptions!$B$10,I15*Assumptions!$B$11)</f>
        <v>7650</v>
      </c>
      <c r="M15" s="7" t="n">
        <f aca="false">J15+K15+L15</f>
        <v>11450</v>
      </c>
      <c r="N15" s="7" t="n">
        <f aca="false">I15-M15</f>
        <v>39550</v>
      </c>
    </row>
    <row r="16" customFormat="false" ht="15" hidden="false" customHeight="false" outlineLevel="0" collapsed="false">
      <c r="A16" s="3" t="s">
        <v>55</v>
      </c>
      <c r="B16" s="3" t="s">
        <v>56</v>
      </c>
      <c r="C16" s="3" t="s">
        <v>54</v>
      </c>
      <c r="D16" s="5" t="n">
        <v>25000</v>
      </c>
      <c r="E16" s="7" t="n">
        <f aca="false">D16*Assumptions!$B$4</f>
        <v>10000</v>
      </c>
      <c r="F16" s="7" t="n">
        <f aca="false">D16*Assumptions!$B$5</f>
        <v>5000</v>
      </c>
      <c r="G16" s="8" t="s">
        <v>32</v>
      </c>
      <c r="H16" s="7" t="n">
        <f aca="false">IF(G16="Yes",D16*Assumptions!$B$8,0)</f>
        <v>0</v>
      </c>
      <c r="I16" s="7" t="n">
        <f aca="false">D16+E16+F16+H16</f>
        <v>40000</v>
      </c>
      <c r="J16" s="7" t="n">
        <f aca="false">D16*Assumptions!$B$6</f>
        <v>3000</v>
      </c>
      <c r="K16" s="7" t="n">
        <f aca="false">Assumptions!$B$7</f>
        <v>200</v>
      </c>
      <c r="L16" s="7" t="n">
        <f aca="false">IF(I16*12&lt;=Assumptions!$B$9,I16*Assumptions!$B$10,I16*Assumptions!$B$11)</f>
        <v>2000</v>
      </c>
      <c r="M16" s="7" t="n">
        <f aca="false">J16+K16+L16</f>
        <v>5200</v>
      </c>
      <c r="N16" s="7" t="n">
        <f aca="false">I16-M16</f>
        <v>34800</v>
      </c>
    </row>
    <row r="17" customFormat="false" ht="15" hidden="false" customHeight="false" outlineLevel="0" collapsed="false">
      <c r="C17" s="9" t="s">
        <v>57</v>
      </c>
      <c r="D17" s="10" t="n">
        <f aca="false">SUM(D5:D16)</f>
        <v>495000</v>
      </c>
      <c r="E17" s="10" t="n">
        <f aca="false">SUM(E5:E16)</f>
        <v>198000</v>
      </c>
      <c r="F17" s="10" t="n">
        <f aca="false">SUM(F5:F16)</f>
        <v>99000</v>
      </c>
      <c r="H17" s="10" t="n">
        <f aca="false">SUM(H5:H16)</f>
        <v>38000</v>
      </c>
      <c r="I17" s="10" t="n">
        <f aca="false">SUM(I5:I16)</f>
        <v>830000</v>
      </c>
      <c r="J17" s="10" t="n">
        <f aca="false">SUM(J5:J16)</f>
        <v>59400</v>
      </c>
      <c r="K17" s="10" t="n">
        <f aca="false">SUM(K5:K16)</f>
        <v>2400</v>
      </c>
      <c r="L17" s="10" t="n">
        <f aca="false">SUM(L5:L16)</f>
        <v>116500</v>
      </c>
      <c r="M17" s="10" t="n">
        <f aca="false">SUM(M5:M16)</f>
        <v>178300</v>
      </c>
      <c r="N17" s="10" t="n">
        <f aca="false">SUM(N5:N16)</f>
        <v>651700</v>
      </c>
    </row>
  </sheetData>
  <conditionalFormatting sqref="N5:N16">
    <cfRule type="cellIs" priority="2" operator="greaterThan" aboveAverage="0" equalAverage="0" bottom="0" percent="0" rank="0" text="" dxfId="0">
      <formula>70000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58</v>
      </c>
    </row>
    <row r="3" customFormat="false" ht="15" hidden="false" customHeight="false" outlineLevel="0" collapsed="false">
      <c r="A3" s="0" t="s">
        <v>14</v>
      </c>
      <c r="B3" s="0" t="s">
        <v>59</v>
      </c>
      <c r="C3" s="0" t="s">
        <v>60</v>
      </c>
      <c r="D3" s="0" t="s">
        <v>61</v>
      </c>
      <c r="E3" s="0" t="s">
        <v>62</v>
      </c>
    </row>
    <row r="4" customFormat="false" ht="15" hidden="false" customHeight="false" outlineLevel="0" collapsed="false">
      <c r="A4" s="6"/>
      <c r="B4" s="6"/>
      <c r="C4" s="6"/>
      <c r="D4" s="6"/>
      <c r="E4" s="6"/>
    </row>
    <row r="5" customFormat="false" ht="15" hidden="false" customHeight="false" outlineLevel="0" collapsed="false">
      <c r="A5" s="3" t="s">
        <v>45</v>
      </c>
      <c r="B5" s="3" t="n">
        <f aca="false">COUNTIF('Salary Calculator'!$C$5:$C$16,A5)</f>
        <v>2</v>
      </c>
      <c r="C5" s="7" t="n">
        <f aca="false">SUMIF('Salary Calculator'!$C$5:$C$16,A5,'Salary Calculator'!$I$5:$I$16)</f>
        <v>161500</v>
      </c>
      <c r="D5" s="7" t="n">
        <f aca="false">SUMIF('Salary Calculator'!$C$5:$C$16,A5,'Salary Calculator'!$N$5:$N$16)</f>
        <v>125475</v>
      </c>
      <c r="E5" s="7" t="n">
        <f aca="false">D5/B5</f>
        <v>62737.5</v>
      </c>
    </row>
    <row r="6" customFormat="false" ht="15" hidden="false" customHeight="false" outlineLevel="0" collapsed="false">
      <c r="A6" s="3" t="s">
        <v>40</v>
      </c>
      <c r="B6" s="3" t="n">
        <f aca="false">COUNTIF('Salary Calculator'!$C$5:$C$16,A6)</f>
        <v>2</v>
      </c>
      <c r="C6" s="7" t="n">
        <f aca="false">SUMIF('Salary Calculator'!$C$5:$C$16,A6,'Salary Calculator'!$I$5:$I$16)</f>
        <v>108000</v>
      </c>
      <c r="D6" s="7" t="n">
        <f aca="false">SUMIF('Salary Calculator'!$C$5:$C$16,A6,'Salary Calculator'!$N$5:$N$16)</f>
        <v>87600</v>
      </c>
      <c r="E6" s="7" t="n">
        <f aca="false">D6/B6</f>
        <v>43800</v>
      </c>
    </row>
    <row r="7" customFormat="false" ht="15" hidden="false" customHeight="false" outlineLevel="0" collapsed="false">
      <c r="A7" s="3" t="s">
        <v>35</v>
      </c>
      <c r="B7" s="3" t="n">
        <f aca="false">COUNTIF('Salary Calculator'!$C$5:$C$16,A7)</f>
        <v>3</v>
      </c>
      <c r="C7" s="7" t="n">
        <f aca="false">SUMIF('Salary Calculator'!$C$5:$C$16,A7,'Salary Calculator'!$I$5:$I$16)</f>
        <v>161500</v>
      </c>
      <c r="D7" s="7" t="n">
        <f aca="false">SUMIF('Salary Calculator'!$C$5:$C$16,A7,'Salary Calculator'!$N$5:$N$16)</f>
        <v>125275</v>
      </c>
      <c r="E7" s="7" t="n">
        <f aca="false">D7/B7</f>
        <v>41758.3333333333</v>
      </c>
    </row>
    <row r="8" customFormat="false" ht="15" hidden="false" customHeight="false" outlineLevel="0" collapsed="false">
      <c r="A8" s="3" t="s">
        <v>54</v>
      </c>
      <c r="B8" s="3" t="n">
        <f aca="false">COUNTIF('Salary Calculator'!$C$5:$C$16,A8)</f>
        <v>2</v>
      </c>
      <c r="C8" s="7" t="n">
        <f aca="false">SUMIF('Salary Calculator'!$C$5:$C$16,A8,'Salary Calculator'!$I$5:$I$16)</f>
        <v>91000</v>
      </c>
      <c r="D8" s="7" t="n">
        <f aca="false">SUMIF('Salary Calculator'!$C$5:$C$16,A8,'Salary Calculator'!$N$5:$N$16)</f>
        <v>74350</v>
      </c>
      <c r="E8" s="7" t="n">
        <f aca="false">D8/B8</f>
        <v>37175</v>
      </c>
    </row>
    <row r="9" customFormat="false" ht="15" hidden="false" customHeight="false" outlineLevel="0" collapsed="false">
      <c r="A9" s="3" t="s">
        <v>28</v>
      </c>
      <c r="B9" s="3" t="n">
        <f aca="false">COUNTIF('Salary Calculator'!$C$5:$C$16,A9)</f>
        <v>3</v>
      </c>
      <c r="C9" s="7" t="n">
        <f aca="false">SUMIF('Salary Calculator'!$C$5:$C$16,A9,'Salary Calculator'!$I$5:$I$16)</f>
        <v>308000</v>
      </c>
      <c r="D9" s="7" t="n">
        <f aca="false">SUMIF('Salary Calculator'!$C$5:$C$16,A9,'Salary Calculator'!$N$5:$N$16)</f>
        <v>239000</v>
      </c>
      <c r="E9" s="7" t="n">
        <f aca="false">D9/B9</f>
        <v>79666.6666666667</v>
      </c>
    </row>
    <row r="11" customFormat="false" ht="15" hidden="false" customHeight="false" outlineLevel="0" collapsed="false">
      <c r="A11" s="11" t="s">
        <v>63</v>
      </c>
      <c r="B11" s="12" t="n">
        <f aca="false">'Salary Calculator'!N17</f>
        <v>651700</v>
      </c>
    </row>
    <row r="12" customFormat="false" ht="15" hidden="false" customHeight="false" outlineLevel="0" collapsed="false">
      <c r="A12" s="11" t="s">
        <v>64</v>
      </c>
      <c r="B12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2026-07-23T12:26:18Z</dcterms:created>
  <dc:creator>openpyxl</dc:creator>
  <dc:description/>
  <dc:language>en-US</dc:language>
  <cp:lastModifiedBy/>
  <dcterms:modified xsi:type="dcterms:W3CDTF">2026-07-23T12:26:21Z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